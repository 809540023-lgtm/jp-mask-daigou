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重量表" state="visible" r:id="rId4"/>
    <sheet sheetId="2" name="說明" state="visible" r:id="rId5"/>
  </sheets>
  <calcPr calcId="171027"/>
</workbook>
</file>

<file path=xl/sharedStrings.xml><?xml version="1.0" encoding="utf-8"?>
<sst xmlns="http://schemas.openxmlformats.org/spreadsheetml/2006/main" count="1507" uniqueCount="891">
  <si>
    <t>商品編號</t>
  </si>
  <si>
    <t>分類</t>
  </si>
  <si>
    <t>品牌</t>
  </si>
  <si>
    <t>日文品名</t>
  </si>
  <si>
    <t>中文品名</t>
  </si>
  <si>
    <t>入數(枚)</t>
  </si>
  <si>
    <t>每片重量(g)</t>
  </si>
  <si>
    <t>包裝基準(g)</t>
  </si>
  <si>
    <t>預估重量(g)</t>
  </si>
  <si>
    <t>特價(日圓)</t>
  </si>
  <si>
    <t>含稅價(日圓)</t>
  </si>
  <si>
    <t>估算台幣</t>
  </si>
  <si>
    <t>P0001</t>
  </si>
  <si>
    <t>面膜</t>
  </si>
  <si>
    <t>THE STEM CELL</t>
  </si>
  <si>
    <t>ステムセル NMN フェイスマスク 30枚入</t>
  </si>
  <si>
    <t>THE STEM CELL NMN 面膜 30枚入</t>
  </si>
  <si>
    <t>P0002</t>
  </si>
  <si>
    <t>ステムセルホワイトフェイスマスク</t>
  </si>
  <si>
    <t>THE STEM CELL 白色面膜</t>
  </si>
  <si>
    <t/>
  </si>
  <si>
    <t>P0003</t>
  </si>
  <si>
    <t>QUALITY 1st</t>
  </si>
  <si>
    <t>QUALITY 1st THE DERMA GALACTOMYCES</t>
  </si>
  <si>
    <t>Quality 1st THE DERMA 半乳糖酵母面膜</t>
  </si>
  <si>
    <t>P0004</t>
  </si>
  <si>
    <t>其他</t>
  </si>
  <si>
    <t>PRIOR</t>
  </si>
  <si>
    <t>PRIOR オールインワン 薬用 リンクル美コルセットゲル</t>
  </si>
  <si>
    <t>PRIOR 多合一藥用抗皺美肌緊緻凝露</t>
  </si>
  <si>
    <t>P0005</t>
  </si>
  <si>
    <t>ヒオリカ</t>
  </si>
  <si>
    <t>モイストコラーゲン フェイシャルマスク</t>
  </si>
  <si>
    <t>保濕膠原蛋白面膜</t>
  </si>
  <si>
    <t>P0006</t>
  </si>
  <si>
    <t>精華</t>
  </si>
  <si>
    <t>旭研 / ASAHI LABO</t>
  </si>
  <si>
    <t>業務用ハイドロキノン5%原液 レチノール配合</t>
  </si>
  <si>
    <t>業務用氫醌5%原液 添加視黃醇</t>
  </si>
  <si>
    <t>P0007</t>
  </si>
  <si>
    <t>ステムセル PDRN フェイスマスク</t>
  </si>
  <si>
    <t>THE STEM CELL PDRN 面膜</t>
  </si>
  <si>
    <t>P0008</t>
  </si>
  <si>
    <t>RepairPro</t>
  </si>
  <si>
    <t>Repair pro aging pack EXOSOME / HUMAN STEM CELL CULTURE</t>
  </si>
  <si>
    <t>RepairPro 熟齡修護面膜 EXOSOME / 人類幹細胞培養液</t>
  </si>
  <si>
    <t>P0009</t>
  </si>
  <si>
    <t>MDSKIN LABO</t>
  </si>
  <si>
    <t>VC-100 Vitamin Care All in One Premium Care Mask</t>
  </si>
  <si>
    <t>VC-100 維他命全效高級護理面膜</t>
  </si>
  <si>
    <t>P0010</t>
  </si>
  <si>
    <t>PLATINUM LABEL</t>
  </si>
  <si>
    <t>GRACEAGE WRINKLE WHITE</t>
  </si>
  <si>
    <t>Graceage 抗皺美白美容凝膠</t>
  </si>
  <si>
    <t>P0011</t>
  </si>
  <si>
    <t>化妝水</t>
  </si>
  <si>
    <t>pdc</t>
  </si>
  <si>
    <t>Pure Natural Premium</t>
  </si>
  <si>
    <t>P0012</t>
  </si>
  <si>
    <t>HADAOMOI</t>
  </si>
  <si>
    <t>HADAOMOI ヒト幹細胞培養液配合オールインワンゲル</t>
  </si>
  <si>
    <t>HADAOMOI 人類幹細胞培養液全效合一凝膠</t>
  </si>
  <si>
    <t>P0013</t>
  </si>
  <si>
    <t>BOTANICAL</t>
  </si>
  <si>
    <t>プレミアムモイスト ボタニカル オールインワンジェル</t>
  </si>
  <si>
    <t>Premium Moist 植物性全效凝膠</t>
  </si>
  <si>
    <t>P0014</t>
  </si>
  <si>
    <t>.akaran</t>
  </si>
  <si>
    <t>ドットアカラン ビタバランス オールインワンジュレ</t>
  </si>
  <si>
    <t>akaran 維他平衡全效凝露</t>
  </si>
  <si>
    <t>P0015</t>
  </si>
  <si>
    <t>ピュアナチュラル バランシング クリームエッセンス</t>
  </si>
  <si>
    <t>Pure Natural 平衡乳霜精華</t>
  </si>
  <si>
    <t>P0016</t>
  </si>
  <si>
    <t>wiwewo</t>
  </si>
  <si>
    <t>生ビタミン生レチノールケアマスク 大容量50枚</t>
  </si>
  <si>
    <t>生維他命生視黃醇護理面膜 大容量50片</t>
  </si>
  <si>
    <t>P0017</t>
  </si>
  <si>
    <t>プラチナレーベル</t>
  </si>
  <si>
    <t>プラチナレーベル CICAオールインワンゲル</t>
  </si>
  <si>
    <t>Platinum Label CICA 積雪草全效合一凝膠</t>
  </si>
  <si>
    <t>P0018</t>
  </si>
  <si>
    <t>ステムセル BIO リポソーム フェイスマスク</t>
  </si>
  <si>
    <t>THE STEM CELL BIO 脂質體面膜</t>
  </si>
  <si>
    <t>P0019</t>
  </si>
  <si>
    <t>Avénis by Re'senza</t>
  </si>
  <si>
    <t>アヴェニス 薬用ブライトニングエッセンス</t>
  </si>
  <si>
    <t>Avénis 藥用亮白精華</t>
  </si>
  <si>
    <t>P0020</t>
  </si>
  <si>
    <t>SECRET SCIENCE+</t>
  </si>
  <si>
    <t>SECRET SCIENCE+ ジェリークリーム</t>
  </si>
  <si>
    <t>SECRET SCIENCE+ 果凍乳霜</t>
  </si>
  <si>
    <t>P0021</t>
  </si>
  <si>
    <t>—</t>
  </si>
  <si>
    <t>推しごと×サプリ Yellow GABA</t>
  </si>
  <si>
    <t>推活×補充品 Yellow GABA</t>
  </si>
  <si>
    <t>P0022</t>
  </si>
  <si>
    <t>NMN</t>
  </si>
  <si>
    <t>NMN PREMIUM FACE MASK</t>
  </si>
  <si>
    <t>NMN 高級面膜</t>
  </si>
  <si>
    <t>P0023</t>
  </si>
  <si>
    <t>VITAme</t>
  </si>
  <si>
    <t>ピュアビタミン＆レチノール ローション</t>
  </si>
  <si>
    <t>純維他命與視黃醇化妝水</t>
  </si>
  <si>
    <t>P0024</t>
  </si>
  <si>
    <t>眼膜</t>
  </si>
  <si>
    <t>Kracie</t>
  </si>
  <si>
    <t>肌美精 アイバッグ ニードルショット</t>
  </si>
  <si>
    <t>肌美精 眼袋微針貼</t>
  </si>
  <si>
    <t>P0025</t>
  </si>
  <si>
    <t>プラチナレーベル CICAクリーム</t>
  </si>
  <si>
    <t>Platinum Label CICA保濕美容霜</t>
  </si>
  <si>
    <t>P0026</t>
  </si>
  <si>
    <t>W.</t>
  </si>
  <si>
    <t>W. ホワイト オールインワンゲル</t>
  </si>
  <si>
    <t>W. White 全效合一凝膠</t>
  </si>
  <si>
    <t>P0027</t>
  </si>
  <si>
    <t>CAPITOLO</t>
  </si>
  <si>
    <t>ハトムギ オールインワンジェル</t>
  </si>
  <si>
    <t>薏仁全效凝膠</t>
  </si>
  <si>
    <t>P0028</t>
  </si>
  <si>
    <t>ピュアリス</t>
  </si>
  <si>
    <t>おやすみナイトケアマスク</t>
  </si>
  <si>
    <t>晚安夜間護理面膜</t>
  </si>
  <si>
    <t>P0029</t>
  </si>
  <si>
    <t>Rice Face Mask</t>
  </si>
  <si>
    <t>お米のマスク</t>
  </si>
  <si>
    <t>米面膜</t>
  </si>
  <si>
    <t>P0030</t>
  </si>
  <si>
    <t>PLATINUM LABEL GRACEAGE WRINKLE WHITE ホワイトニング リンクル アイクリーム</t>
  </si>
  <si>
    <t>白金標 Graceage 美白抗皺眼霜</t>
  </si>
  <si>
    <t>P0031</t>
  </si>
  <si>
    <t>i-SAMU</t>
  </si>
  <si>
    <t>i-SAMU Veganior BAKUCHIOL&amp;CICA FACE MASK Premium 10P</t>
  </si>
  <si>
    <t>i-SAMU Veganior 補骨脂酚&amp;CICA 高級面膜</t>
  </si>
  <si>
    <t>P0032</t>
  </si>
  <si>
    <t>ancienne</t>
  </si>
  <si>
    <t>ancienne premium white essence EXOSOME × VitaminC</t>
  </si>
  <si>
    <t>ancienne 高級美白精華液 外泌體 × 維他命C</t>
  </si>
  <si>
    <t>P0033</t>
  </si>
  <si>
    <t>SANWA HONPO</t>
  </si>
  <si>
    <t>Needle Cream EXPRESS MICRO TREATMENT CREAM</t>
  </si>
  <si>
    <t>Needle Cream Express 微針美容霜</t>
  </si>
  <si>
    <t>P0034</t>
  </si>
  <si>
    <t>GASI</t>
  </si>
  <si>
    <t>GASI EVERYDAY SERUM-FIT FACE MASK AGING CARE</t>
  </si>
  <si>
    <t>GASI 每日精華貼合面膜 抗老護理</t>
  </si>
  <si>
    <t>P0035</t>
  </si>
  <si>
    <t>LUX</t>
  </si>
  <si>
    <t>Botanifique By LUX Premium ダメージリペア トリートメント</t>
  </si>
  <si>
    <t>LUX Botanifique Premium 損傷修護護髮膜／護髮素</t>
  </si>
  <si>
    <t>P0036</t>
  </si>
  <si>
    <t>ancienne premium age care EXOSOME 集中美容液</t>
  </si>
  <si>
    <t>ancienne 高級年齡護理 外泌體集中美容液</t>
  </si>
  <si>
    <t>P0037</t>
  </si>
  <si>
    <t>ピオリカ</t>
  </si>
  <si>
    <t>ピオリカ NMN＆ナイアシンアミド配合ハイドロゲルポイントマスク</t>
  </si>
  <si>
    <t>Piorica NMN＆菸鹼醯胺水凝膠局部面膜</t>
  </si>
  <si>
    <t>P0038</t>
  </si>
  <si>
    <t>THE EXOSOME HIGH CLASS MOIST ESSENCE</t>
  </si>
  <si>
    <t>THE EXOSOME 高級保濕精華</t>
  </si>
  <si>
    <t>P0039</t>
  </si>
  <si>
    <t>THE STEM CELL BIO LIPOSOME FACE MASK</t>
  </si>
  <si>
    <t>THE STEM CELL 生物脂質體面膜</t>
  </si>
  <si>
    <t>P0040</t>
  </si>
  <si>
    <t>THE STEM CELL FACIAL TREATMENT MASK</t>
  </si>
  <si>
    <t>THE STEM CELL 臉部護理面膜</t>
  </si>
  <si>
    <t>P0041</t>
  </si>
  <si>
    <t>Re'senza</t>
  </si>
  <si>
    <t>リセンザ ステムセル＆エクソソーム プレミアムオールインワンジェル</t>
  </si>
  <si>
    <t>Re'senza 幹細胞與外泌體高級全效凝膠</t>
  </si>
  <si>
    <t>P0042</t>
  </si>
  <si>
    <t>ピュアナチュラル プレミアム バランシング エッセンスローション</t>
  </si>
  <si>
    <t>pdc Pure Natural Premium 平衡精華化妝水</t>
  </si>
  <si>
    <t>P0043</t>
  </si>
  <si>
    <t>ステムセル</t>
  </si>
  <si>
    <t>ステムセル SHIRATAMA SUHADA フェイスマスク</t>
  </si>
  <si>
    <t>THE STEM CELL SAITAMA SUHADA 面膜</t>
  </si>
  <si>
    <t>P0044</t>
  </si>
  <si>
    <t>QUALITY 1st THE DERMA SENSITIVE</t>
  </si>
  <si>
    <t>Quality 1st Derma Sensitive 防止肌膚粗糙面膜</t>
  </si>
  <si>
    <t>P0045</t>
  </si>
  <si>
    <t>リセンザ アスタキサンチンプレミアムオールインワンジェル</t>
  </si>
  <si>
    <t>Re'senza 蝦紅素高級全效凝膠</t>
  </si>
  <si>
    <t>P0046</t>
  </si>
  <si>
    <t>Dcure+</t>
  </si>
  <si>
    <t>ピコモンテシートマスク 1枚 8種のヒアルロン酸＋コラーゲン</t>
  </si>
  <si>
    <t>Pico Monte Dcure+ 8種玻尿酸＋膠原蛋白面膜</t>
  </si>
  <si>
    <t>P0047</t>
  </si>
  <si>
    <t>Re'senza SUPER VC100 プレミアムマスク</t>
  </si>
  <si>
    <t>Re'senza SUPER VC100 高級面膜</t>
  </si>
  <si>
    <t>P0048</t>
  </si>
  <si>
    <t>Re'senza 3ステムセル プレミアムフェイスマスク</t>
  </si>
  <si>
    <t>Re'senza 3幹細胞高級面膜</t>
  </si>
  <si>
    <t>P0049</t>
  </si>
  <si>
    <t>リセンサ アスタキサンチン エイジングケアエッセンス</t>
  </si>
  <si>
    <t>Re'senza 蝦青素抗老精華液</t>
  </si>
  <si>
    <t>P0050</t>
  </si>
  <si>
    <t>ピュアナチュラル プレミアム ブライトニング ローション</t>
  </si>
  <si>
    <t>pdc Pure Natural Premium 亮白化妝水</t>
  </si>
  <si>
    <t>P0051</t>
  </si>
  <si>
    <t>myO2</t>
  </si>
  <si>
    <t>myO2 ウォーターコートトリートメント ディープモイスト 詰替</t>
  </si>
  <si>
    <t>myO2 水潤包覆護髮素 深層保濕 補充包</t>
  </si>
  <si>
    <t>P0052</t>
  </si>
  <si>
    <t>EVERYYOU</t>
  </si>
  <si>
    <t>EVERYYOU ナイアシンアミドシートアイマスク</t>
  </si>
  <si>
    <t>EVERYYOU 菸鹼醯胺片狀眼膜</t>
  </si>
  <si>
    <t>P0053</t>
  </si>
  <si>
    <t>QUALITY 1st THE DERMA VC100</t>
  </si>
  <si>
    <t>Quality 1st Derma VC100 毛孔護理面膜</t>
  </si>
  <si>
    <t>P0054</t>
  </si>
  <si>
    <t>VT</t>
  </si>
  <si>
    <t>S100 REEDLE DAILY SKIN CARE</t>
  </si>
  <si>
    <t>VT S100 Reedle 每日肌膚護理導入美容液</t>
  </si>
  <si>
    <t>P0055</t>
  </si>
  <si>
    <t>プラチナレーベル ホワイトニングリンクルエッセンス</t>
  </si>
  <si>
    <t>PLATINUM LABEL 美白抗皺精華</t>
  </si>
  <si>
    <t>P0056</t>
  </si>
  <si>
    <t>Re'senza PREMIUM EYE CREAM</t>
  </si>
  <si>
    <t>Re'senza 高級眼霜</t>
  </si>
  <si>
    <t>P0057</t>
  </si>
  <si>
    <t>BIORICA</t>
  </si>
  <si>
    <t>ビオリカ ノンシリコン ボタニカル コンディショナー</t>
  </si>
  <si>
    <t>BIORICA 無矽靈植物護髮素</t>
  </si>
  <si>
    <t>P0058</t>
  </si>
  <si>
    <t>ピュアモンテ Dcure+ フェイスマスク CICA</t>
  </si>
  <si>
    <t>Pure Monte Dcure+ 積雪草 CICA 面膜</t>
  </si>
  <si>
    <t>P0059</t>
  </si>
  <si>
    <t>myO2 ウォーターコートシャンプー スリークモイスト 詰替</t>
  </si>
  <si>
    <t>myO2 水潤包覆洗髮精 順滑保濕 補充包</t>
  </si>
  <si>
    <t>P0060</t>
  </si>
  <si>
    <t>100×100 全方位ケアマスク 大容量50枚</t>
  </si>
  <si>
    <t>100×100 全方位護理面膜 大容量50片</t>
  </si>
  <si>
    <t>P0061</t>
  </si>
  <si>
    <t>premium EXOSOME agecare</t>
  </si>
  <si>
    <t>高級外泌體熟齡護理面膜</t>
  </si>
  <si>
    <t>P0062</t>
  </si>
  <si>
    <t>EVERYYOU レチノールフェイシャルマスク</t>
  </si>
  <si>
    <t>EVERYYOU 視黃醇彈力對策面膜</t>
  </si>
  <si>
    <t>P0063</t>
  </si>
  <si>
    <t>Ansyante</t>
  </si>
  <si>
    <t>アンシャンテ フェイスマスク 白玉グルタチオン</t>
  </si>
  <si>
    <t>Enchanté 白玉穀胱甘肽臉部面膜</t>
  </si>
  <si>
    <t>P0064</t>
  </si>
  <si>
    <t>ステムセル iPS CELLS フェイスマスク</t>
  </si>
  <si>
    <t>THE STEM CELL iPS細胞面膜</t>
  </si>
  <si>
    <t>P0065</t>
  </si>
  <si>
    <t>ステムセル フェイシャルトリートメントマスク</t>
  </si>
  <si>
    <t>P0066</t>
  </si>
  <si>
    <t>大人の年齢肌対策マスク ナイアシンアミド</t>
  </si>
  <si>
    <t>成人熟齡肌對策面膜 菸鹼醯胺</t>
  </si>
  <si>
    <t>P0067</t>
  </si>
  <si>
    <t>EVERYYOU レチノールシートアイマスク</t>
  </si>
  <si>
    <t>EVERYYOU 視黃醇片狀眼膜</t>
  </si>
  <si>
    <t>P0068</t>
  </si>
  <si>
    <t>肌ラボ</t>
  </si>
  <si>
    <t>肌ラボ 極潤 高保湿ケア 高機能オールインワン</t>
  </si>
  <si>
    <t>肌研 極潤高保濕護理高機能多合一凝露</t>
  </si>
  <si>
    <t>P0069</t>
  </si>
  <si>
    <t>リセンザ Wステムセルエッセンス60ml</t>
  </si>
  <si>
    <t>Re'senza W幹細胞精華液60ml</t>
  </si>
  <si>
    <t>P0070</t>
  </si>
  <si>
    <t>CICA Premium Care Mask</t>
  </si>
  <si>
    <t>CICA Premium Care 積雪草高保濕面膜</t>
  </si>
  <si>
    <t>P0071</t>
  </si>
  <si>
    <t>MILLE</t>
  </si>
  <si>
    <t>バイオリフト プレミアム ハイドロ ローション</t>
  </si>
  <si>
    <t>Bio Lift Premium Hydro 化妝水</t>
  </si>
  <si>
    <t>P0072</t>
  </si>
  <si>
    <t>BEAUTY COSME</t>
  </si>
  <si>
    <t>AZELAIC ACID フェイスマスク</t>
  </si>
  <si>
    <t>壬二酸面膜</t>
  </si>
  <si>
    <t>P0073</t>
  </si>
  <si>
    <t>CICA</t>
  </si>
  <si>
    <t>MANAZA-SHEET EYEMASK</t>
  </si>
  <si>
    <t>CICA 眼周用片狀眼膜</t>
  </si>
  <si>
    <t>P0074</t>
  </si>
  <si>
    <t>SPIRA</t>
  </si>
  <si>
    <t>SPIRA WHITE HARI MASK</t>
  </si>
  <si>
    <t>SPIRA 白色彈力面膜</t>
  </si>
  <si>
    <t>P0075</t>
  </si>
  <si>
    <t>MILLE 生ビタミンC美容液 30ml</t>
  </si>
  <si>
    <t>MILLE 生維他命C美容液 30ml</t>
  </si>
  <si>
    <t>P0076</t>
  </si>
  <si>
    <t>LINE</t>
  </si>
  <si>
    <t>ベリーポップ ピュアビタミンC泡水プラス</t>
  </si>
  <si>
    <t>Berry Pop 純維他命C泡水Plus</t>
  </si>
  <si>
    <t>P0077</t>
  </si>
  <si>
    <t>THE STEM CELL スキンローション</t>
  </si>
  <si>
    <t>THE STEM CELL 幹細胞保濕化妝水</t>
  </si>
  <si>
    <t>P0078</t>
  </si>
  <si>
    <t>アンシャンテ グルタチオン エッセンス</t>
  </si>
  <si>
    <t>ancienne 穀胱甘肽精華液</t>
  </si>
  <si>
    <t>P0079</t>
  </si>
  <si>
    <t>PURE</t>
  </si>
  <si>
    <t>リペアプロ エイジングパック 30枚入</t>
  </si>
  <si>
    <t>Repair Pro 熟齡護理面膜 30片</t>
  </si>
  <si>
    <t>P0080</t>
  </si>
  <si>
    <t>Fleuri</t>
  </si>
  <si>
    <t>fleuri（フルリ）ブライトショット</t>
  </si>
  <si>
    <t>Fleuri Bright Shot 精華</t>
  </si>
  <si>
    <t>P0081</t>
  </si>
  <si>
    <t>matsukiyo</t>
  </si>
  <si>
    <t>推しごと×サプリ PINK コラーゲン</t>
  </si>
  <si>
    <t>推活×補充品 PINK 膠原蛋白</t>
  </si>
  <si>
    <t>P0082</t>
  </si>
  <si>
    <t>リセンザ プレミアムPDRN美容液</t>
  </si>
  <si>
    <t>Re'senza Premium PDRN 美容液</t>
  </si>
  <si>
    <t>P0083</t>
  </si>
  <si>
    <t>リセンサ プラセンタ美容液60ml</t>
  </si>
  <si>
    <t>Re'senza 胎盤素美容精華液60ml</t>
  </si>
  <si>
    <t>P0084</t>
  </si>
  <si>
    <t>AZELAIC ACID Daily</t>
  </si>
  <si>
    <t>壬二酸每日面膜</t>
  </si>
  <si>
    <t>P0085</t>
  </si>
  <si>
    <t>ピコモンテシートマスク 1枚 ビタミン</t>
  </si>
  <si>
    <t>Pico Monte Dcure+ 維他命面膜</t>
  </si>
  <si>
    <t>P0086</t>
  </si>
  <si>
    <t>ビコモング</t>
  </si>
  <si>
    <t>ビタミン&amp;グルタチオン シートマスク</t>
  </si>
  <si>
    <t>維他命＆穀胱甘肽片狀面膜</t>
  </si>
  <si>
    <t>P0087</t>
  </si>
  <si>
    <t>NMN プレミアムフェイスマスク</t>
  </si>
  <si>
    <t>P0088</t>
  </si>
  <si>
    <t>アンシャンテ ビタミンアイクリーム</t>
  </si>
  <si>
    <t>ancienne 維他命眼霜</t>
  </si>
  <si>
    <t>P0089</t>
  </si>
  <si>
    <t>Dr:P+Medic</t>
  </si>
  <si>
    <t>Dr:P+Medic ゲルアイパッチ</t>
  </si>
  <si>
    <t>Dr:P+Medic 水凝膠眼膜</t>
  </si>
  <si>
    <t>P0090</t>
  </si>
  <si>
    <t>NMN ホワイト オールインワンゲル</t>
  </si>
  <si>
    <t>NMN 美白全效合一凝膠</t>
  </si>
  <si>
    <t>P0091</t>
  </si>
  <si>
    <t>リセンサ プレミアムNMN美容液</t>
  </si>
  <si>
    <t>Re'senza 高級NMN美容精華液</t>
  </si>
  <si>
    <t>P0092</t>
  </si>
  <si>
    <t>プラセンタ＆レチノール美容液 02</t>
  </si>
  <si>
    <t>胎盤素＆視黃醇美容液 02</t>
  </si>
  <si>
    <t>P0093</t>
  </si>
  <si>
    <t>EV</t>
  </si>
  <si>
    <t>PDRN エッセンスクリーム 50g</t>
  </si>
  <si>
    <t>PDRN 精華乳霜 50g</t>
  </si>
  <si>
    <t>P0094</t>
  </si>
  <si>
    <t>アンシャンテ NMNアイクリーム</t>
  </si>
  <si>
    <t>ancienne NMN眼霜</t>
  </si>
  <si>
    <t>P0095</t>
  </si>
  <si>
    <t>ピコモンテ</t>
  </si>
  <si>
    <t>ピコモンテ アイクリームビタミン</t>
  </si>
  <si>
    <t>Pikomonte 維他命眼霜</t>
  </si>
  <si>
    <t>P0096</t>
  </si>
  <si>
    <t>さよならイボリーナ</t>
  </si>
  <si>
    <t>さよならイボリーナ ナイトパック</t>
  </si>
  <si>
    <t>Sayonara Iborina 夜間護理霜／夜用包</t>
  </si>
  <si>
    <t>P0097</t>
  </si>
  <si>
    <t>CICA Daily Mask</t>
  </si>
  <si>
    <t>CICA 每日面膜</t>
  </si>
  <si>
    <t>P0098</t>
  </si>
  <si>
    <t>さよならイボリーナ 目元温和漢</t>
  </si>
  <si>
    <t>Sayonara Iborina 眼周溫和漢方</t>
  </si>
  <si>
    <t>P0099</t>
  </si>
  <si>
    <t>キレイ＆コー</t>
  </si>
  <si>
    <t>キレイ＆コー オールインワンゲル</t>
  </si>
  <si>
    <t>Kirei &amp; Co 全效合一凝膠</t>
  </si>
  <si>
    <t>P0100</t>
  </si>
  <si>
    <t>スーパーダイヤモンド 保湿クリーム</t>
  </si>
  <si>
    <t>Super Diamond 保濕乳霜</t>
  </si>
  <si>
    <t>P0101</t>
  </si>
  <si>
    <t>オヤスミタンパク</t>
  </si>
  <si>
    <t>オヤスミタンパク チャイ味</t>
  </si>
  <si>
    <t>晚安蛋白 Chai 風味</t>
  </si>
  <si>
    <t>P0102</t>
  </si>
  <si>
    <t>玉三</t>
  </si>
  <si>
    <t>黒豆・黒ごまアーモンドきな粉</t>
  </si>
  <si>
    <t>黑豆黑芝麻杏仁黃豆粉</t>
  </si>
  <si>
    <t>P0103</t>
  </si>
  <si>
    <t>DHC</t>
  </si>
  <si>
    <t>DHC オリーブバージンオイル</t>
  </si>
  <si>
    <t>DHC 橄欖純粹美容油</t>
  </si>
  <si>
    <t>P0104</t>
  </si>
  <si>
    <t>esorani</t>
  </si>
  <si>
    <t>エソラニ 思いでオイル 01</t>
  </si>
  <si>
    <t>esorani 回憶油 01</t>
  </si>
  <si>
    <t>P0105</t>
  </si>
  <si>
    <t>ハリ対策マスク レチノール</t>
  </si>
  <si>
    <t>彈力對策面膜 視黃醇</t>
  </si>
  <si>
    <t>P0106</t>
  </si>
  <si>
    <t>ビオリカ クレイシャンプー</t>
  </si>
  <si>
    <t>BIORICA 黏土洗髮精</t>
  </si>
  <si>
    <t>P0107</t>
  </si>
  <si>
    <t>MILLE セラム 美容液</t>
  </si>
  <si>
    <t>MILLE 精華美容液</t>
  </si>
  <si>
    <t>P0108</t>
  </si>
  <si>
    <t>VARI:HOPE</t>
  </si>
  <si>
    <t>ピュアビタミンCクリーム</t>
  </si>
  <si>
    <t>Pure Vitamin C 乳霜</t>
  </si>
  <si>
    <t>P0109</t>
  </si>
  <si>
    <t>旭研</t>
  </si>
  <si>
    <t>ハイドロキノン パッチ</t>
  </si>
  <si>
    <t>對苯二酚貼片</t>
  </si>
  <si>
    <t>P0110</t>
  </si>
  <si>
    <t>EV PDRN 美容液</t>
  </si>
  <si>
    <t>EV PDRN 美容精華液</t>
  </si>
  <si>
    <t>P0111</t>
  </si>
  <si>
    <t>乳液</t>
  </si>
  <si>
    <t>S-1 乳液 200ml</t>
  </si>
  <si>
    <t>P0112</t>
  </si>
  <si>
    <t>S-1 クリーム 100g</t>
  </si>
  <si>
    <t>S-1 面霜 100g</t>
  </si>
  <si>
    <t>P0113</t>
  </si>
  <si>
    <t>ガラクト</t>
  </si>
  <si>
    <t>タワミンローション</t>
  </si>
  <si>
    <t>Tawamin 化妝水</t>
  </si>
  <si>
    <t>P0114</t>
  </si>
  <si>
    <t>FANCL</t>
  </si>
  <si>
    <t>カロリミット</t>
  </si>
  <si>
    <t>Calolimit 控糖控脂吸收錠</t>
  </si>
  <si>
    <t>P0115</t>
  </si>
  <si>
    <t>DERMA ISM 100 / Make.iN</t>
  </si>
  <si>
    <t>DERMA ISM 100 VitaminC300 nano capsules 10Days FACE MASK</t>
  </si>
  <si>
    <t>DERMA ISM 100 維他命C300 奈米膠囊10日面膜</t>
  </si>
  <si>
    <t>P0116</t>
  </si>
  <si>
    <t>HYALURONIC ACID + COLLAGEN SHEET MASK SPECIAL SKIN CARE</t>
  </si>
  <si>
    <t>玻尿酸＋膠原蛋白片狀面膜</t>
  </si>
  <si>
    <t>P0117</t>
  </si>
  <si>
    <t>不明</t>
  </si>
  <si>
    <t>EXOSOME HUMAN STEM CELL CULTURE Repair pro aging pack</t>
  </si>
  <si>
    <t>外泌體人幹細胞培養修護熟齡護理面膜</t>
  </si>
  <si>
    <t>P0118</t>
  </si>
  <si>
    <t>ancienne VitaminC Derivatives × Glutathione</t>
  </si>
  <si>
    <t>ancienne 維他命C衍生物 × 穀胱甘肽精華液</t>
  </si>
  <si>
    <t>P0119</t>
  </si>
  <si>
    <t>PLATINUM LABEL GRACEAGE WRINKLE WHITE アイクリーム</t>
  </si>
  <si>
    <t>白金標籤 Graceage 抗皺美白眼霜</t>
  </si>
  <si>
    <t>P0120</t>
  </si>
  <si>
    <t>THE STEM CELL RETINOL&amp;VITAMIN ESSENCE MASK</t>
  </si>
  <si>
    <t>THE STEM CELL 視黃醇&amp;維他命精華面膜</t>
  </si>
  <si>
    <t>P0121</t>
  </si>
  <si>
    <t>THE STEM CELL SHIRATAMA SUHADA ESSENCE MASK</t>
  </si>
  <si>
    <t>THE STEM CELL 白玉素肌精華面膜</t>
  </si>
  <si>
    <t>P0122</t>
  </si>
  <si>
    <t>DERMA ISM 100</t>
  </si>
  <si>
    <t>HARI SPICULE+ Human Stem Cells ALL IN ONE GEL</t>
  </si>
  <si>
    <t>HARI 微針＋人幹細胞全效合一凝膠</t>
  </si>
  <si>
    <t>P0123</t>
  </si>
  <si>
    <t>Vitamins! Glutathione Premium Sheet mask</t>
  </si>
  <si>
    <t>維他命穀胱甘肽高級片狀面膜</t>
  </si>
  <si>
    <t>P0124</t>
  </si>
  <si>
    <t>EXOSOME SCIENCE</t>
  </si>
  <si>
    <t>EXOSOME SCIENCE NEW STEM CELL EYE SHEET</t>
  </si>
  <si>
    <t>EXOSOME SCIENCE 新幹細胞眼膜</t>
  </si>
  <si>
    <t>P0125</t>
  </si>
  <si>
    <t>Pure Natural Premium バランシング エッセンスローション</t>
  </si>
  <si>
    <t>Pure Natural Premium 平衡精華化妝水／乳液</t>
  </si>
  <si>
    <t>P0126</t>
  </si>
  <si>
    <t>CNP Laboratory</t>
  </si>
  <si>
    <t>CNP Laboratory PROPOLIS AMPULE MASK</t>
  </si>
  <si>
    <t>CNP蜂膠安瓶面膜</t>
  </si>
  <si>
    <t>P0127</t>
  </si>
  <si>
    <t>VITAMe THE WHITE face mask VC100&amp;GSH</t>
  </si>
  <si>
    <t>VITAMe THE WHITE 臉部面膜 VC100&amp;GSH</t>
  </si>
  <si>
    <t>P0128</t>
  </si>
  <si>
    <t>ACROPASS</t>
  </si>
  <si>
    <t>ACROPASS RETINOL MICRONEEDLE PATCH</t>
  </si>
  <si>
    <t>ACROPASS 視黃醇微針貼</t>
  </si>
  <si>
    <t>P0129</t>
  </si>
  <si>
    <t>EXOSOME SCIENCE WHITE MOIST ESSENCE</t>
  </si>
  <si>
    <t>外泌體科學 白色保濕精華液</t>
  </si>
  <si>
    <t>P0130</t>
  </si>
  <si>
    <t>VITAMIN SHEET MASK SPECIAL SKIN CARE</t>
  </si>
  <si>
    <t>維他命片狀面膜</t>
  </si>
  <si>
    <t>P0131</t>
  </si>
  <si>
    <t>Veganior VC-100 FACE MASK Premium 10P</t>
  </si>
  <si>
    <t>Veganior VC-100 高滲透維他命C面膜</t>
  </si>
  <si>
    <t>P0132</t>
  </si>
  <si>
    <t>THE STEM CELL iPS CELLS ESSENCE MASK</t>
  </si>
  <si>
    <t>STEM CELL iPS 細胞精華面膜</t>
  </si>
  <si>
    <t>P0133</t>
  </si>
  <si>
    <t>RETINOL VITAMIN Premium Care Mask</t>
  </si>
  <si>
    <t>視黃醇維他命高級護理面膜</t>
  </si>
  <si>
    <t>P0134</t>
  </si>
  <si>
    <t>ancienne Vitalize</t>
  </si>
  <si>
    <t>ancienne Vitalize Moisture Cream</t>
  </si>
  <si>
    <t>ancienne Vitalize 保濕霜</t>
  </si>
  <si>
    <t>P0135</t>
  </si>
  <si>
    <t>CNP Laboratory VITA-B AMPULE MASK</t>
  </si>
  <si>
    <t>CNP維他命B安瓶面膜</t>
  </si>
  <si>
    <t>P0136</t>
  </si>
  <si>
    <t>リペアプロ プロテクトフェイスパック CICA / RETINOL</t>
  </si>
  <si>
    <t>RepairPro CICA / 視黃醇防護面膜</t>
  </si>
  <si>
    <t>P0137</t>
  </si>
  <si>
    <t>VITAMe THE KEANA face mask VC200</t>
  </si>
  <si>
    <t>VITAMe 毛孔護理臉部面膜 VC200</t>
  </si>
  <si>
    <t>P0138</t>
  </si>
  <si>
    <t>THE STEM CELL レチノール＆ビタミン フェイスマスク</t>
  </si>
  <si>
    <t>THE STEM CELL 視黃醇＆維他命精華面膜</t>
  </si>
  <si>
    <t>P0139</t>
  </si>
  <si>
    <t>RETINOL VITAMIN Daily Care Mask</t>
  </si>
  <si>
    <t>視黃醇維他命日常護理面膜</t>
  </si>
  <si>
    <t>P0140</t>
  </si>
  <si>
    <t>Re'senza VC100 プレミアム オールインワンジェル</t>
  </si>
  <si>
    <t>Re'senza VC100 高級多合一凝露</t>
  </si>
  <si>
    <t>P0141</t>
  </si>
  <si>
    <t>Re'senza ENRICH PDRN オールインワンジェル</t>
  </si>
  <si>
    <t>Re'senza 高效 PDRN 全效合一凝膠</t>
  </si>
  <si>
    <t>P0142</t>
  </si>
  <si>
    <t>TEATREE MOISTURE ESSENCE MASK</t>
  </si>
  <si>
    <t>茶樹保濕精華面膜</t>
  </si>
  <si>
    <t>P0143</t>
  </si>
  <si>
    <t>W stem</t>
  </si>
  <si>
    <t>W stem REVIVAL Moisture Lotion</t>
  </si>
  <si>
    <t>W stem REVIVAL 保濕化妝水</t>
  </si>
  <si>
    <t>P0144</t>
  </si>
  <si>
    <t>VITAme PDRN&amp;EXOSOMEフェイスマスク</t>
  </si>
  <si>
    <t>VITAme PDRN＆外泌體面膜</t>
  </si>
  <si>
    <t>P0145</t>
  </si>
  <si>
    <t>THE DERMA VC100 / ザ・ダーマVC100 毛穴ケア</t>
  </si>
  <si>
    <t>THE DERMA VC100 毛孔護理面膜</t>
  </si>
  <si>
    <t>P0146</t>
  </si>
  <si>
    <t>MDSKIN LABO VC-100 プレミアムケアマスク</t>
  </si>
  <si>
    <t>MDSKIN LABO VC-100 高級護理面膜</t>
  </si>
  <si>
    <t>P0147</t>
  </si>
  <si>
    <t>EVERYYOU ナイアシンアミドフェイシャルマスク</t>
  </si>
  <si>
    <t>EVERYYOU 菸鹼醯胺年齡肌對策面膜</t>
  </si>
  <si>
    <t>P0148</t>
  </si>
  <si>
    <t>ピュアナチュラル プレミアム ブライトニング エッセンス</t>
  </si>
  <si>
    <t>Pure Natural Premium 美白精華</t>
  </si>
  <si>
    <t>P0149</t>
  </si>
  <si>
    <t>W stem REVIVAL Moisture Cream</t>
  </si>
  <si>
    <t>W stem REVIVAL 保濕乳霜</t>
  </si>
  <si>
    <t>P0150</t>
  </si>
  <si>
    <t>THE DERMA MASK GALACTOMYCES</t>
  </si>
  <si>
    <t>THE DERMA MASK 半乳糖酵母面膜</t>
  </si>
  <si>
    <t>P0151</t>
  </si>
  <si>
    <t>AGING CARE</t>
  </si>
  <si>
    <t>EVERYDAY SERUM-FIT FACE MASK</t>
  </si>
  <si>
    <t>每日精華貼合面膜</t>
  </si>
  <si>
    <t>P0152</t>
  </si>
  <si>
    <t>myO2 ウォーターコート トリートメント スリークモイスト 本体</t>
  </si>
  <si>
    <t>myO2 水潤包覆護髮素 順滑保濕 本體</t>
  </si>
  <si>
    <t>P0153</t>
  </si>
  <si>
    <t>リセンザ VC100プレミアムオールインワンジェル</t>
  </si>
  <si>
    <t>Re'senza VC100 高級全效凝膠</t>
  </si>
  <si>
    <t>P0154</t>
  </si>
  <si>
    <t>Make.iN</t>
  </si>
  <si>
    <t>メイクイン VitaminC300 フェイスパック</t>
  </si>
  <si>
    <t>Make.iN 維他命C300 面膜</t>
  </si>
  <si>
    <t>P0155</t>
  </si>
  <si>
    <t>クオリティーファースト ザ・ダーマ ガラクトミセス 30枚入</t>
  </si>
  <si>
    <t>Quality 1st The Derma 半乳糖酵母面膜 30片</t>
  </si>
  <si>
    <t>P0156</t>
  </si>
  <si>
    <t>リセンザ プレミアム PDRN オールインワンジェル</t>
  </si>
  <si>
    <t>Re'senza 高級 PDRN 全效凝膠</t>
  </si>
  <si>
    <t>P0157</t>
  </si>
  <si>
    <t>THE STEM CELL NMN FACE MASK</t>
  </si>
  <si>
    <t>THE STEM CELL NMN 面膜</t>
  </si>
  <si>
    <t>P0158</t>
  </si>
  <si>
    <t>クオリティーファースト ザ・ダーマ センシティブ 7枚SP</t>
  </si>
  <si>
    <t>QUALITY 1st The Derma 敏感肌面膜 7枚SP</t>
  </si>
  <si>
    <t>P0159</t>
  </si>
  <si>
    <t>QUALITY 1st THE DERMA MASK</t>
  </si>
  <si>
    <t>Quality 1st Derma 保濕面膜</t>
  </si>
  <si>
    <t>P0160</t>
  </si>
  <si>
    <t>ワンデビジン / 1 DE BIJIN</t>
  </si>
  <si>
    <t>ワンデビジン ハリ艶うるおいフェイスマスク 45</t>
  </si>
  <si>
    <t>One de Bijin 彈潤光澤保濕面膜 45片</t>
  </si>
  <si>
    <t>P0161</t>
  </si>
  <si>
    <t>ピュアモンテ Dcure+ フェイスマスク レチノール</t>
  </si>
  <si>
    <t>Pure Monte Dcure+ 視黃醇面膜</t>
  </si>
  <si>
    <t>P0162</t>
  </si>
  <si>
    <t>N organic</t>
  </si>
  <si>
    <t>N organic バランシング エッセンスミルク</t>
  </si>
  <si>
    <t>N organic 平衡精華乳</t>
  </si>
  <si>
    <t>P0163</t>
  </si>
  <si>
    <t>クオリティーファースト ザ・ダーマ VC100 30枚SP</t>
  </si>
  <si>
    <t>Quality 1st The Derma VC100 毛孔護理面膜 30片</t>
  </si>
  <si>
    <t>P0164</t>
  </si>
  <si>
    <t>myO2 ウォーターコートシャンプー ディープモイスト 本体</t>
  </si>
  <si>
    <t>myO2 水膜洗髮精 深層保濕 本體</t>
  </si>
  <si>
    <t>P0165</t>
  </si>
  <si>
    <t>Veganior BAKUCHIOL CICA</t>
  </si>
  <si>
    <t>Veganior 補骨脂酚 CICA 面膜</t>
  </si>
  <si>
    <t>P0166</t>
  </si>
  <si>
    <t>NMN＆ナイアシンアミド オールインワンジェル</t>
  </si>
  <si>
    <t>NMN與菸鹼醯胺全效凝膠</t>
  </si>
  <si>
    <t>P0167</t>
  </si>
  <si>
    <t>SPIRA WHITE HARI フェイスマスク</t>
  </si>
  <si>
    <t>SPIRA 白色微針面膜</t>
  </si>
  <si>
    <t>P0168</t>
  </si>
  <si>
    <t>肌ラボ 極潤 薬用美白パーフェクトゲル つめかえ</t>
  </si>
  <si>
    <t>肌研極潤藥用美白完美凝露補充包</t>
  </si>
  <si>
    <t>P0169</t>
  </si>
  <si>
    <t>NATURE REPUBLIC</t>
  </si>
  <si>
    <t>パーフェクトバランシング ビタミンゼリーマスク</t>
  </si>
  <si>
    <t>完美平衡維他命果凍面膜</t>
  </si>
  <si>
    <t>P0170</t>
  </si>
  <si>
    <t>DE BIJIN</t>
  </si>
  <si>
    <t>和漢うるおい成分 コラーゲン フェイスマスク</t>
  </si>
  <si>
    <t>和漢保濕成分膠原蛋白面膜</t>
  </si>
  <si>
    <t>P0171</t>
  </si>
  <si>
    <t>Asahi</t>
  </si>
  <si>
    <t>LaLafem シトラスミックス（30日分）</t>
  </si>
  <si>
    <t>LaLafem 柑橘綜合口味 30日份</t>
  </si>
  <si>
    <t>P0172</t>
  </si>
  <si>
    <t>THE EXOSOME EYE SHEET 黒</t>
  </si>
  <si>
    <t>THE EXOSOME 眼膜 黑色</t>
  </si>
  <si>
    <t>P0173</t>
  </si>
  <si>
    <t>FOOT GOOD</t>
  </si>
  <si>
    <t>FOOT GOOD PEELING PACK</t>
  </si>
  <si>
    <t>FOOT GOOD 足部去角質足膜</t>
  </si>
  <si>
    <t>P0174</t>
  </si>
  <si>
    <t>リセンサ VC100プレミアムエッセンス</t>
  </si>
  <si>
    <t>Re'senza VC100 高級精華液</t>
  </si>
  <si>
    <t>P0175</t>
  </si>
  <si>
    <t>CNP ミュージェナー カーミングアンプルマスク</t>
  </si>
  <si>
    <t>CNP 積雪草舒緩安瓶面膜</t>
  </si>
  <si>
    <t>P0176</t>
  </si>
  <si>
    <t>EVERYYOU ティーツリーフェイスマスク</t>
  </si>
  <si>
    <t>EVERYYOU 茶樹保濕精華面膜</t>
  </si>
  <si>
    <t>P0177</t>
  </si>
  <si>
    <t>HARIS</t>
  </si>
  <si>
    <t>HARIS スピキュールオールインワンジェル</t>
  </si>
  <si>
    <t>HARIS 微針全效凝膠</t>
  </si>
  <si>
    <t>P0178</t>
  </si>
  <si>
    <t>ピュアナチュラル プレミアム 美容液＋クリーム</t>
  </si>
  <si>
    <t>Pure Natural Premium 美容液＋乳霜</t>
  </si>
  <si>
    <t>P0179</t>
  </si>
  <si>
    <t>水たま</t>
  </si>
  <si>
    <t>水たま モイスト＆ホワイト フェイスマスク</t>
  </si>
  <si>
    <t>水たま 保濕亮白面膜</t>
  </si>
  <si>
    <t>P0180</t>
  </si>
  <si>
    <t>RISM</t>
  </si>
  <si>
    <t>クールミンティカルエッセンスグリーンレタス</t>
  </si>
  <si>
    <t>Cool Mintical Essence Green Lettuce</t>
  </si>
  <si>
    <t>P0181</t>
  </si>
  <si>
    <t>SUPER VC100 FACE MASK</t>
  </si>
  <si>
    <t>超級VC100面膜</t>
  </si>
  <si>
    <t>P0182</t>
  </si>
  <si>
    <t>グルタチオンプレミアムケアマスク30</t>
  </si>
  <si>
    <t>穀胱甘肽高級護理面膜30片</t>
  </si>
  <si>
    <t>P0183</t>
  </si>
  <si>
    <t>飲むエステ 生粋プラセンタ 300,000</t>
  </si>
  <si>
    <t>飲用美容 生粹胎盤素 300,000</t>
  </si>
  <si>
    <t>P0184</t>
  </si>
  <si>
    <t>Rombucha</t>
  </si>
  <si>
    <t>Rombucha PEACH コンブチャ</t>
  </si>
  <si>
    <t>Rombucha 桃子康普茶</t>
  </si>
  <si>
    <t>P0185</t>
  </si>
  <si>
    <t>アンシャンテ</t>
  </si>
  <si>
    <t>アンシャンテ フェイスパック エクソソーム</t>
  </si>
  <si>
    <t>Enchanté 外泌體集中護理面膜</t>
  </si>
  <si>
    <t>P0186</t>
  </si>
  <si>
    <t>NAIAS</t>
  </si>
  <si>
    <t>NAIAS ナイアシンアミド配合化粧水</t>
  </si>
  <si>
    <t>NAIAS 菸鹼醯胺配合化妝水</t>
  </si>
  <si>
    <t>P0187</t>
  </si>
  <si>
    <t>ステムセル POWER SKIN セラム</t>
  </si>
  <si>
    <t>Stem Cell Power Skin 精華液</t>
  </si>
  <si>
    <t>P0188</t>
  </si>
  <si>
    <t>EXOSOME WHITE MOIST</t>
  </si>
  <si>
    <t>EXOSOME 白色保濕精華</t>
  </si>
  <si>
    <t>P0189</t>
  </si>
  <si>
    <t>BIORICA クレイコンディショナー</t>
  </si>
  <si>
    <t>BIORICA 泥質護髮潤髮乳</t>
  </si>
  <si>
    <t>P0190</t>
  </si>
  <si>
    <t>ビオリカ</t>
  </si>
  <si>
    <t>ビオリカ ナイトマスク20P ラベンダー</t>
  </si>
  <si>
    <t>BIORICA 夜間護理面膜 20片 薰衣草</t>
  </si>
  <si>
    <t>P0191</t>
  </si>
  <si>
    <t>デイリーケアリフトパッククリームマスク</t>
  </si>
  <si>
    <t>每日護理提拉乳霜面膜</t>
  </si>
  <si>
    <t>P0192</t>
  </si>
  <si>
    <t>プレミアム フェイシャルケア 100</t>
  </si>
  <si>
    <t>高級臉部護理100面膜</t>
  </si>
  <si>
    <t>P0193</t>
  </si>
  <si>
    <t>WHITE VEIL</t>
  </si>
  <si>
    <t>WHITE VEIL（ホワイトヴェール）</t>
  </si>
  <si>
    <t>WHITE VEIL 美容保健品</t>
  </si>
  <si>
    <t>P0194</t>
  </si>
  <si>
    <t>スチームクリーム スウィートストライプス</t>
  </si>
  <si>
    <t>蒸汽乳霜 甜蜜條紋款</t>
  </si>
  <si>
    <t>P0195</t>
  </si>
  <si>
    <t>ハイドロキノン5% レチノールを配合</t>
  </si>
  <si>
    <t>氫醌5%＋視黃醇配方產品</t>
  </si>
  <si>
    <t>P0196</t>
  </si>
  <si>
    <t>NMN MOIST EYE SHEET</t>
  </si>
  <si>
    <t>NMN 保濕眼膜</t>
  </si>
  <si>
    <t>P0197</t>
  </si>
  <si>
    <t>wliwewo</t>
  </si>
  <si>
    <t>生レチノールケアマスク 大容量50枚</t>
  </si>
  <si>
    <t>生視黃醇護理面膜 大容量50片</t>
  </si>
  <si>
    <t>P0198</t>
  </si>
  <si>
    <t>グルタチオンプレミアムケアマスク</t>
  </si>
  <si>
    <t>穀胱甘肽高級護理面膜</t>
  </si>
  <si>
    <t>P0199</t>
  </si>
  <si>
    <t>Fleuri BOOST SERUM</t>
  </si>
  <si>
    <t>Fleuri 導入型美容液／前導精華</t>
  </si>
  <si>
    <t>P0200</t>
  </si>
  <si>
    <t>アンシャンテ ヴィタライズローション</t>
  </si>
  <si>
    <t>ancienne Vitalize 化妝水</t>
  </si>
  <si>
    <t>P0201</t>
  </si>
  <si>
    <t>デイリーケアモイストローションマスク</t>
  </si>
  <si>
    <t>每日護理保濕化妝水面膜</t>
  </si>
  <si>
    <t>P0202</t>
  </si>
  <si>
    <t>シートマスク ヒアルロン酸＋コラーゲン</t>
  </si>
  <si>
    <t>片狀面膜 玻尿酸＋膠原蛋白</t>
  </si>
  <si>
    <t>P0203</t>
  </si>
  <si>
    <t>くびれメイクガードル ブラック M-L</t>
  </si>
  <si>
    <t>塑腰美型束褲 黑色 M-L</t>
  </si>
  <si>
    <t>P0204</t>
  </si>
  <si>
    <t>PLACENTA RETINOL</t>
  </si>
  <si>
    <t>胎盤素視黃醇</t>
  </si>
  <si>
    <t>P0205</t>
  </si>
  <si>
    <t>THE DERMA MASK 高保湿</t>
  </si>
  <si>
    <t>THE DERMA MASK 高保濕面膜</t>
  </si>
  <si>
    <t>P0206</t>
  </si>
  <si>
    <t>プレミアム EXOSOME age</t>
  </si>
  <si>
    <t>Premium EXOSOME age 面膜</t>
  </si>
  <si>
    <t>P0207</t>
  </si>
  <si>
    <t>アゼライン酸フェイシャルマスク</t>
  </si>
  <si>
    <t>壬二酸清涼感面膜</t>
  </si>
  <si>
    <t>P0208</t>
  </si>
  <si>
    <t>LANEIGE</t>
  </si>
  <si>
    <t>ラネージュ バウンシーセラム 30ml</t>
  </si>
  <si>
    <t>蘭芝 Bouncy &amp; Firm 精華 30ml</t>
  </si>
  <si>
    <t>P0209</t>
  </si>
  <si>
    <t>fleuri（フルリ）ブーストセラム</t>
  </si>
  <si>
    <t>Fleuri Boost Serum 前導精華</t>
  </si>
  <si>
    <t>P0210</t>
  </si>
  <si>
    <t>ピュアビタミン＆レチノール クリーム</t>
  </si>
  <si>
    <t>純維他命與視黃醇乳霜</t>
  </si>
  <si>
    <t>P0211</t>
  </si>
  <si>
    <t>日本リコス</t>
  </si>
  <si>
    <t>ステビアヘルスイヌリンプラス</t>
  </si>
  <si>
    <t>Stevia Health 菊粉 Plus</t>
  </si>
  <si>
    <t>P0212</t>
  </si>
  <si>
    <t>WHITE VEIL moist</t>
  </si>
  <si>
    <t>WHITE VEIL moist 保濕款</t>
  </si>
  <si>
    <t>P0213</t>
  </si>
  <si>
    <t>ビコモンテ</t>
  </si>
  <si>
    <t>高濃度美容液 ナイアシンアミド</t>
  </si>
  <si>
    <t>高濃度美容液 菸鹼醯胺</t>
  </si>
  <si>
    <t>P0214</t>
  </si>
  <si>
    <t>エイジイロージョングリーンレタス</t>
  </si>
  <si>
    <t>Age Lotion Green Lettuce</t>
  </si>
  <si>
    <t>P0215</t>
  </si>
  <si>
    <t>プラチナレーベル ハトムギ化粧水</t>
  </si>
  <si>
    <t>Platinum Label 薏仁化妝水</t>
  </si>
  <si>
    <t>P0216</t>
  </si>
  <si>
    <t>PERFECT BEAUTY</t>
  </si>
  <si>
    <t>P0217</t>
  </si>
  <si>
    <t>Veganior VC-100</t>
  </si>
  <si>
    <t>Veganior VC-100 面膜</t>
  </si>
  <si>
    <t>P0218</t>
  </si>
  <si>
    <t>LACTO-FIT</t>
  </si>
  <si>
    <t>ラクトフィット ゴールド 30本</t>
  </si>
  <si>
    <t>LACTO-FIT Gold 乳酸菌 30條</t>
  </si>
  <si>
    <t>P0219</t>
  </si>
  <si>
    <t>HARI スピキュール アイシート</t>
  </si>
  <si>
    <t>HARI 微針眼膜</t>
  </si>
  <si>
    <t>P0220</t>
  </si>
  <si>
    <t>ビオリカ ハニーコンディショナー</t>
  </si>
  <si>
    <t>BIORICA 蜂蜜護髮素</t>
  </si>
  <si>
    <t>P0221</t>
  </si>
  <si>
    <t>アゼライン酸フェイスマスク</t>
  </si>
  <si>
    <t>壬二酸每日保濕面膜</t>
  </si>
  <si>
    <t>P0222</t>
  </si>
  <si>
    <t>リペアプロ プロテクトパック</t>
  </si>
  <si>
    <t>RepairPro 防護面膜</t>
  </si>
  <si>
    <t>P0223</t>
  </si>
  <si>
    <t>ハトムギフェイシャルマスク</t>
  </si>
  <si>
    <t>薏仁臉部面膜</t>
  </si>
  <si>
    <t>P0224</t>
  </si>
  <si>
    <t>PURE GOLDEN</t>
  </si>
  <si>
    <t>ピュアゴールデン ホホバオイル</t>
  </si>
  <si>
    <t>Pure Golden 荷荷巴油</t>
  </si>
  <si>
    <t>P0225</t>
  </si>
  <si>
    <t>オヤスミタンパク ココア味</t>
  </si>
  <si>
    <t>晚安蛋白 可可風味</t>
  </si>
  <si>
    <t>P0226</t>
  </si>
  <si>
    <t>ハイドロキノン シートマスク</t>
  </si>
  <si>
    <t>氫醌面膜</t>
  </si>
  <si>
    <t>P0227</t>
  </si>
  <si>
    <t>Re:Set</t>
  </si>
  <si>
    <t>リンクル＆ホワイトクリーム</t>
  </si>
  <si>
    <t>抗皺美白乳霜</t>
  </si>
  <si>
    <t>P0228</t>
  </si>
  <si>
    <t>VitaminC300</t>
  </si>
  <si>
    <t>VitaminC300 面膜</t>
  </si>
  <si>
    <t>P0229</t>
  </si>
  <si>
    <t>Glutathione</t>
  </si>
  <si>
    <t>穀胱甘肽面膜</t>
  </si>
  <si>
    <t>P0230</t>
  </si>
  <si>
    <t>発芽米と緑茶 シンフォニー</t>
  </si>
  <si>
    <t>發芽米與綠茶 Symphony</t>
  </si>
  <si>
    <t>P0231</t>
  </si>
  <si>
    <t>Oshigoto × Supplement</t>
  </si>
  <si>
    <t>推しごと×サプリ Red</t>
  </si>
  <si>
    <t>推し事×補充品 Red</t>
  </si>
  <si>
    <t>P0232</t>
  </si>
  <si>
    <t>CICA シートアイマスク</t>
  </si>
  <si>
    <t>CICA 片狀眼膜</t>
  </si>
  <si>
    <t>P0233</t>
  </si>
  <si>
    <t>NMN モイストアイシート</t>
  </si>
  <si>
    <t>P0234</t>
  </si>
  <si>
    <t>esorani エソラニ</t>
  </si>
  <si>
    <t>esorani 保養品</t>
  </si>
  <si>
    <t>P0235</t>
  </si>
  <si>
    <t>エッセンスクリーム 50g</t>
  </si>
  <si>
    <t>精華乳霜 50g</t>
  </si>
  <si>
    <t>P0236</t>
  </si>
  <si>
    <t>純ハイドロキノン 5%</t>
  </si>
  <si>
    <t>純氫醌5%乳霜</t>
  </si>
  <si>
    <t>P0237</t>
  </si>
  <si>
    <t>ビオリカ ハニーシャンプー</t>
  </si>
  <si>
    <t>BIORICA 蜂蜜洗髮精</t>
  </si>
  <si>
    <t>P0238</t>
  </si>
  <si>
    <t>S-1 化粧水 200ml</t>
  </si>
  <si>
    <t>S-1 化妝水 200ml</t>
  </si>
  <si>
    <t>P0239</t>
  </si>
  <si>
    <t>シートマスク レチノール</t>
  </si>
  <si>
    <t>片狀面膜 視黃醇</t>
  </si>
  <si>
    <t>P0240</t>
  </si>
  <si>
    <t>シートマスク CICA</t>
  </si>
  <si>
    <t>片狀面膜 積雪草</t>
  </si>
  <si>
    <t>P0241</t>
  </si>
  <si>
    <t>シートマスク ビタミン</t>
  </si>
  <si>
    <t>片狀面膜 維他命</t>
  </si>
  <si>
    <t>P0242</t>
  </si>
  <si>
    <t>大人のカロリミット</t>
  </si>
  <si>
    <t>成人 Calolimit</t>
  </si>
  <si>
    <t>P0243</t>
  </si>
  <si>
    <t>NMN ホワイトケア</t>
  </si>
  <si>
    <t>NMN 白皙護理</t>
  </si>
  <si>
    <t>P0244</t>
  </si>
  <si>
    <t>洗面乳</t>
  </si>
  <si>
    <t>ハイドロキノン石鹸</t>
  </si>
  <si>
    <t>氫醌皂</t>
  </si>
  <si>
    <t>P0245</t>
  </si>
  <si>
    <t>ナイトリンクルケア</t>
  </si>
  <si>
    <t>夜間皺紋護理</t>
  </si>
  <si>
    <t>P0246</t>
  </si>
  <si>
    <t>CHARMING</t>
  </si>
  <si>
    <t>茶眠【チャーミング】</t>
  </si>
  <si>
    <t>茶眠 Charming 女性生活健康應援茶</t>
  </si>
  <si>
    <t>P0247</t>
  </si>
  <si>
    <t>免疫応援 酢酸菌</t>
  </si>
  <si>
    <t>免疫應援 醋酸菌</t>
  </si>
  <si>
    <t>P0248</t>
  </si>
  <si>
    <t>シミ対策 クリーム</t>
  </si>
  <si>
    <t>淡斑對策乳霜</t>
  </si>
  <si>
    <t>P0249</t>
  </si>
  <si>
    <t>ワンデビジン</t>
  </si>
  <si>
    <t>One Day Bijin 面膜</t>
  </si>
  <si>
    <t>P0250</t>
  </si>
  <si>
    <t>クリーム 50g</t>
  </si>
  <si>
    <t>乳霜 50g</t>
  </si>
  <si>
    <t>P0251</t>
  </si>
  <si>
    <t>L/UNE（ユヌ）</t>
  </si>
  <si>
    <t>リポソームトナー</t>
  </si>
  <si>
    <t>脂質體化妝水</t>
  </si>
  <si>
    <t>P0252</t>
  </si>
  <si>
    <t>CICA 面膜</t>
  </si>
  <si>
    <t>P0253</t>
  </si>
  <si>
    <t>S-1</t>
  </si>
  <si>
    <t>S-1 乳液</t>
  </si>
  <si>
    <t>P0254</t>
  </si>
  <si>
    <t>水珠／水玉</t>
  </si>
  <si>
    <t>P0255</t>
  </si>
  <si>
    <t>P0256</t>
  </si>
  <si>
    <t>P0257</t>
  </si>
  <si>
    <t>P0258</t>
  </si>
  <si>
    <t>P0259</t>
  </si>
  <si>
    <t>P0260</t>
  </si>
  <si>
    <t>分類基準值(g)</t>
  </si>
  <si>
    <t>每片 22 g</t>
  </si>
  <si>
    <t>每片 8 g</t>
  </si>
  <si>
    <t>每片 0 g</t>
  </si>
  <si>
    <t>項目</t>
  </si>
  <si>
    <t>說明</t>
  </si>
  <si>
    <t>用途</t>
  </si>
  <si>
    <t>本表由 products.csv 產生，用來估算「每一包」的預估重量，網站會自動加總總重並試算運費。</t>
  </si>
  <si>
    <t>預估重量公式</t>
  </si>
  <si>
    <t>預估重量(g) = ROUND((入數 x 每片重量 + 包裝基準) / 5) x 5，未滿 30g 以 30g 計。</t>
  </si>
  <si>
    <t>修改方式</t>
  </si>
  <si>
    <t>直接改「每片重量(g)」或「包裝基準(g)」欄位即可；若要知道實際影響，把數值貼回 scripts/weight-model.mjs 後執行 npm run build:data。</t>
  </si>
  <si>
    <t>注意</t>
  </si>
  <si>
    <t>此重量為估算值，非實秤重量；實際運費與報價一律以客服最後確認為準。</t>
  </si>
  <si>
    <t>匯率</t>
  </si>
  <si>
    <t>日圓 -&gt; 新台幣 採用 0.22（可用環境變數 JPY_TO_TWD 覆寫）。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</si>
</sst>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FormatPr defaultRowHeight="15" outlineLevelRow="0" outlineLevelCol="0" x14ac:dyDescent="55"/>
  <cols>
    <col min="1" max="2" width="10" customWidth="1"/>
    <col min="3" max="3" width="18" customWidth="1"/>
    <col min="4" max="4" width="40" customWidth="1"/>
    <col min="5" max="5" width="30" customWidth="1"/>
    <col min="6" max="6" width="10" customWidth="1"/>
    <col min="7" max="7" width="13" customWidth="1"/>
    <col min="8" max="8" width="12" customWidth="1"/>
    <col min="9" max="9" width="13" customWidth="1"/>
    <col min="10" max="10" width="12" customWidth="1"/>
    <col min="11" max="11" width="14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30</v>
      </c>
      <c r="G2">
        <v>22</v>
      </c>
      <c r="H2">
        <v>20</v>
      </c>
      <c r="I2">
        <f>=MAX(30,ROUND(($F2*$G2+$H2)/5,0)*5)</f>
        <v>680</v>
      </c>
      <c r="J2">
        <v>599</v>
      </c>
      <c r="K2">
        <v>599</v>
      </c>
      <c r="L2">
        <v>132</v>
      </c>
    </row>
    <row r="3" spans="1:12" x14ac:dyDescent="0.25">
      <c r="A3" t="s">
        <v>17</v>
      </c>
      <c r="B3" t="s">
        <v>13</v>
      </c>
      <c r="C3" t="s">
        <v>14</v>
      </c>
      <c r="D3" t="s">
        <v>18</v>
      </c>
      <c r="E3" t="s">
        <v>19</v>
      </c>
      <c r="F3" t="s">
        <v>20</v>
      </c>
      <c r="G3">
        <v>22</v>
      </c>
      <c r="H3">
        <v>20</v>
      </c>
      <c r="I3">
        <f>=MAX(30,ROUND(($F3*$G3+$H3)/5,0)*5)</f>
        <v>30</v>
      </c>
      <c r="J3">
        <v>599</v>
      </c>
      <c r="K3">
        <v>599</v>
      </c>
      <c r="L3">
        <v>132</v>
      </c>
    </row>
    <row r="4" spans="1:12" x14ac:dyDescent="0.25">
      <c r="A4" t="s">
        <v>21</v>
      </c>
      <c r="B4" t="s">
        <v>13</v>
      </c>
      <c r="C4" t="s">
        <v>22</v>
      </c>
      <c r="D4" t="s">
        <v>23</v>
      </c>
      <c r="E4" t="s">
        <v>24</v>
      </c>
      <c r="F4">
        <v>30</v>
      </c>
      <c r="G4">
        <v>22</v>
      </c>
      <c r="H4">
        <v>20</v>
      </c>
      <c r="I4">
        <f>=MAX(30,ROUND(($F4*$G4+$H4)/5,0)*5)</f>
        <v>680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20</v>
      </c>
      <c r="G5">
        <v>0</v>
      </c>
      <c r="H5">
        <v>200</v>
      </c>
      <c r="I5">
        <f>=MAX(30,ROUND(($F5*$G5+$H5)/5,0)*5)</f>
        <v>200</v>
      </c>
      <c r="J5">
        <v>4399</v>
      </c>
      <c r="K5">
        <v>4399</v>
      </c>
      <c r="L5">
        <v>968</v>
      </c>
    </row>
    <row r="6" spans="1:12" x14ac:dyDescent="0.25">
      <c r="A6" t="s">
        <v>30</v>
      </c>
      <c r="B6" t="s">
        <v>13</v>
      </c>
      <c r="C6" t="s">
        <v>31</v>
      </c>
      <c r="D6" t="s">
        <v>32</v>
      </c>
      <c r="E6" t="s">
        <v>33</v>
      </c>
      <c r="F6">
        <v>30</v>
      </c>
      <c r="G6">
        <v>22</v>
      </c>
      <c r="H6">
        <v>20</v>
      </c>
      <c r="I6">
        <f>=MAX(30,ROUND(($F6*$G6+$H6)/5,0)*5)</f>
        <v>680</v>
      </c>
      <c r="J6">
        <v>599</v>
      </c>
      <c r="K6">
        <v>659</v>
      </c>
      <c r="L6">
        <v>145</v>
      </c>
    </row>
    <row r="7" spans="1:12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20</v>
      </c>
      <c r="G7">
        <v>0</v>
      </c>
      <c r="H7">
        <v>150</v>
      </c>
      <c r="I7">
        <f>=MAX(30,ROUND(($F7*$G7+$H7)/5,0)*5)</f>
        <v>150</v>
      </c>
      <c r="J7">
        <v>1580</v>
      </c>
      <c r="K7">
        <v>1738</v>
      </c>
      <c r="L7">
        <v>382</v>
      </c>
    </row>
    <row r="8" spans="1:12" x14ac:dyDescent="0.25">
      <c r="A8" t="s">
        <v>39</v>
      </c>
      <c r="B8" t="s">
        <v>13</v>
      </c>
      <c r="C8" t="s">
        <v>14</v>
      </c>
      <c r="D8" t="s">
        <v>40</v>
      </c>
      <c r="E8" t="s">
        <v>41</v>
      </c>
      <c r="F8" t="s">
        <v>20</v>
      </c>
      <c r="G8">
        <v>22</v>
      </c>
      <c r="H8">
        <v>20</v>
      </c>
      <c r="I8">
        <f>=MAX(30,ROUND(($F8*$G8+$H8)/5,0)*5)</f>
        <v>30</v>
      </c>
      <c r="J8">
        <v>599</v>
      </c>
      <c r="K8">
        <v>599</v>
      </c>
      <c r="L8">
        <v>132</v>
      </c>
    </row>
    <row r="9" spans="1:12" x14ac:dyDescent="0.25">
      <c r="A9" t="s">
        <v>42</v>
      </c>
      <c r="B9" t="s">
        <v>13</v>
      </c>
      <c r="C9" t="s">
        <v>43</v>
      </c>
      <c r="D9" t="s">
        <v>44</v>
      </c>
      <c r="E9" t="s">
        <v>45</v>
      </c>
      <c r="F9" t="s">
        <v>20</v>
      </c>
      <c r="G9">
        <v>22</v>
      </c>
      <c r="H9">
        <v>20</v>
      </c>
      <c r="I9">
        <f>=MAX(30,ROUND(($F9*$G9+$H9)/5,0)*5)</f>
        <v>30</v>
      </c>
    </row>
    <row r="10" spans="1:12" x14ac:dyDescent="0.25">
      <c r="A10" t="s">
        <v>46</v>
      </c>
      <c r="B10" t="s">
        <v>13</v>
      </c>
      <c r="C10" t="s">
        <v>47</v>
      </c>
      <c r="D10" t="s">
        <v>48</v>
      </c>
      <c r="E10" t="s">
        <v>49</v>
      </c>
      <c r="F10" t="s">
        <v>20</v>
      </c>
      <c r="G10">
        <v>22</v>
      </c>
      <c r="H10">
        <v>20</v>
      </c>
      <c r="I10">
        <f>=MAX(30,ROUND(($F10*$G10+$H10)/5,0)*5)</f>
        <v>30</v>
      </c>
      <c r="J10">
        <v>499</v>
      </c>
      <c r="K10">
        <v>499</v>
      </c>
      <c r="L10">
        <v>110</v>
      </c>
    </row>
    <row r="11" spans="1:12" x14ac:dyDescent="0.25">
      <c r="A11" t="s">
        <v>50</v>
      </c>
      <c r="B11" t="s">
        <v>26</v>
      </c>
      <c r="C11" t="s">
        <v>51</v>
      </c>
      <c r="D11" t="s">
        <v>52</v>
      </c>
      <c r="E11" t="s">
        <v>53</v>
      </c>
      <c r="F11" t="s">
        <v>20</v>
      </c>
      <c r="G11">
        <v>0</v>
      </c>
      <c r="H11">
        <v>200</v>
      </c>
      <c r="I11">
        <f>=MAX(30,ROUND(($F11*$G11+$H11)/5,0)*5)</f>
        <v>200</v>
      </c>
      <c r="J11">
        <v>999</v>
      </c>
      <c r="K11">
        <v>999</v>
      </c>
      <c r="L11">
        <v>220</v>
      </c>
    </row>
    <row r="12" spans="1:12" x14ac:dyDescent="0.25">
      <c r="A12" t="s">
        <v>54</v>
      </c>
      <c r="B12" t="s">
        <v>55</v>
      </c>
      <c r="C12" t="s">
        <v>56</v>
      </c>
      <c r="D12" t="s">
        <v>57</v>
      </c>
      <c r="E12" t="s">
        <v>57</v>
      </c>
      <c r="F12" t="s">
        <v>20</v>
      </c>
      <c r="G12">
        <v>0</v>
      </c>
      <c r="H12">
        <v>260</v>
      </c>
      <c r="I12">
        <f>=MAX(30,ROUND(($F12*$G12+$H12)/5,0)*5)</f>
        <v>260</v>
      </c>
      <c r="J12">
        <v>1430</v>
      </c>
      <c r="K12">
        <v>1430</v>
      </c>
      <c r="L12">
        <v>315</v>
      </c>
    </row>
    <row r="13" spans="1:12" x14ac:dyDescent="0.25">
      <c r="A13" t="s">
        <v>58</v>
      </c>
      <c r="B13" t="s">
        <v>26</v>
      </c>
      <c r="C13" t="s">
        <v>59</v>
      </c>
      <c r="D13" t="s">
        <v>60</v>
      </c>
      <c r="E13" t="s">
        <v>61</v>
      </c>
      <c r="F13" t="s">
        <v>20</v>
      </c>
      <c r="G13">
        <v>0</v>
      </c>
      <c r="H13">
        <v>200</v>
      </c>
      <c r="I13">
        <f>=MAX(30,ROUND(($F13*$G13+$H13)/5,0)*5)</f>
        <v>200</v>
      </c>
      <c r="J13">
        <v>699</v>
      </c>
      <c r="K13">
        <v>699</v>
      </c>
      <c r="L13">
        <v>154</v>
      </c>
    </row>
    <row r="14" spans="1:12" x14ac:dyDescent="0.25">
      <c r="A14" t="s">
        <v>62</v>
      </c>
      <c r="B14" t="s">
        <v>26</v>
      </c>
      <c r="C14" t="s">
        <v>63</v>
      </c>
      <c r="D14" t="s">
        <v>64</v>
      </c>
      <c r="E14" t="s">
        <v>65</v>
      </c>
      <c r="F14" t="s">
        <v>20</v>
      </c>
      <c r="G14">
        <v>0</v>
      </c>
      <c r="H14">
        <v>200</v>
      </c>
      <c r="I14">
        <f>=MAX(30,ROUND(($F14*$G14+$H14)/5,0)*5)</f>
        <v>200</v>
      </c>
      <c r="J14">
        <v>999</v>
      </c>
      <c r="K14">
        <v>1099</v>
      </c>
      <c r="L14">
        <v>242</v>
      </c>
    </row>
    <row r="15" spans="1:12" x14ac:dyDescent="0.25">
      <c r="A15" t="s">
        <v>66</v>
      </c>
      <c r="B15" t="s">
        <v>26</v>
      </c>
      <c r="C15" t="s">
        <v>67</v>
      </c>
      <c r="D15" t="s">
        <v>68</v>
      </c>
      <c r="E15" t="s">
        <v>69</v>
      </c>
      <c r="F15" t="s">
        <v>20</v>
      </c>
      <c r="G15">
        <v>0</v>
      </c>
      <c r="H15">
        <v>200</v>
      </c>
      <c r="I15">
        <f>=MAX(30,ROUND(($F15*$G15+$H15)/5,0)*5)</f>
        <v>200</v>
      </c>
      <c r="J15">
        <v>499</v>
      </c>
      <c r="K15">
        <v>499</v>
      </c>
      <c r="L15">
        <v>110</v>
      </c>
    </row>
    <row r="16" spans="1:12" x14ac:dyDescent="0.25">
      <c r="A16" t="s">
        <v>70</v>
      </c>
      <c r="B16" t="s">
        <v>35</v>
      </c>
      <c r="C16" t="s">
        <v>56</v>
      </c>
      <c r="D16" t="s">
        <v>71</v>
      </c>
      <c r="E16" t="s">
        <v>72</v>
      </c>
      <c r="F16" t="s">
        <v>20</v>
      </c>
      <c r="G16">
        <v>0</v>
      </c>
      <c r="H16">
        <v>150</v>
      </c>
      <c r="I16">
        <f>=MAX(30,ROUND(($F16*$G16+$H16)/5,0)*5)</f>
        <v>150</v>
      </c>
      <c r="J16">
        <v>1200</v>
      </c>
      <c r="K16">
        <v>1200</v>
      </c>
      <c r="L16">
        <v>264</v>
      </c>
    </row>
    <row r="17" spans="1:12" x14ac:dyDescent="0.25">
      <c r="A17" t="s">
        <v>73</v>
      </c>
      <c r="B17" t="s">
        <v>13</v>
      </c>
      <c r="C17" t="s">
        <v>74</v>
      </c>
      <c r="D17" t="s">
        <v>75</v>
      </c>
      <c r="E17" t="s">
        <v>76</v>
      </c>
      <c r="F17">
        <v>50</v>
      </c>
      <c r="G17">
        <v>22</v>
      </c>
      <c r="H17">
        <v>20</v>
      </c>
      <c r="I17">
        <f>=MAX(30,ROUND(($F17*$G17+$H17)/5,0)*5)</f>
        <v>1120</v>
      </c>
      <c r="J17">
        <v>699</v>
      </c>
      <c r="K17">
        <v>699</v>
      </c>
      <c r="L17">
        <v>154</v>
      </c>
    </row>
    <row r="18" spans="1:12" x14ac:dyDescent="0.25">
      <c r="A18" t="s">
        <v>77</v>
      </c>
      <c r="B18" t="s">
        <v>26</v>
      </c>
      <c r="C18" t="s">
        <v>78</v>
      </c>
      <c r="D18" t="s">
        <v>79</v>
      </c>
      <c r="E18" t="s">
        <v>80</v>
      </c>
      <c r="F18">
        <v>1</v>
      </c>
      <c r="G18">
        <v>0</v>
      </c>
      <c r="H18">
        <v>200</v>
      </c>
      <c r="I18">
        <f>=MAX(30,ROUND(($F18*$G18+$H18)/5,0)*5)</f>
        <v>200</v>
      </c>
      <c r="J18">
        <v>799</v>
      </c>
      <c r="K18">
        <v>799</v>
      </c>
      <c r="L18">
        <v>176</v>
      </c>
    </row>
    <row r="19" spans="1:12" x14ac:dyDescent="0.25">
      <c r="A19" t="s">
        <v>81</v>
      </c>
      <c r="B19" t="s">
        <v>13</v>
      </c>
      <c r="C19" t="s">
        <v>14</v>
      </c>
      <c r="D19" t="s">
        <v>82</v>
      </c>
      <c r="E19" t="s">
        <v>83</v>
      </c>
      <c r="F19" t="s">
        <v>20</v>
      </c>
      <c r="G19">
        <v>22</v>
      </c>
      <c r="H19">
        <v>20</v>
      </c>
      <c r="I19">
        <f>=MAX(30,ROUND(($F19*$G19+$H19)/5,0)*5)</f>
        <v>30</v>
      </c>
      <c r="J19">
        <v>599</v>
      </c>
      <c r="K19">
        <v>599</v>
      </c>
      <c r="L19">
        <v>132</v>
      </c>
    </row>
    <row r="20" spans="1:12" x14ac:dyDescent="0.25">
      <c r="A20" t="s">
        <v>84</v>
      </c>
      <c r="B20" t="s">
        <v>35</v>
      </c>
      <c r="C20" t="s">
        <v>85</v>
      </c>
      <c r="D20" t="s">
        <v>86</v>
      </c>
      <c r="E20" t="s">
        <v>87</v>
      </c>
      <c r="F20" t="s">
        <v>20</v>
      </c>
      <c r="G20">
        <v>0</v>
      </c>
      <c r="H20">
        <v>150</v>
      </c>
      <c r="I20">
        <f>=MAX(30,ROUND(($F20*$G20+$H20)/5,0)*5)</f>
        <v>150</v>
      </c>
      <c r="J20">
        <v>1980</v>
      </c>
      <c r="K20">
        <v>2178</v>
      </c>
      <c r="L20">
        <v>479</v>
      </c>
    </row>
    <row r="21" spans="1:12" x14ac:dyDescent="0.25">
      <c r="A21" t="s">
        <v>88</v>
      </c>
      <c r="B21" t="s">
        <v>26</v>
      </c>
      <c r="C21" t="s">
        <v>89</v>
      </c>
      <c r="D21" t="s">
        <v>90</v>
      </c>
      <c r="E21" t="s">
        <v>91</v>
      </c>
      <c r="F21" t="s">
        <v>20</v>
      </c>
      <c r="G21">
        <v>0</v>
      </c>
      <c r="H21">
        <v>200</v>
      </c>
      <c r="I21">
        <f>=MAX(30,ROUND(($F21*$G21+$H21)/5,0)*5)</f>
        <v>200</v>
      </c>
      <c r="J21">
        <v>999</v>
      </c>
      <c r="K21">
        <v>1099</v>
      </c>
      <c r="L21">
        <v>242</v>
      </c>
    </row>
    <row r="22" spans="1:12" x14ac:dyDescent="0.25">
      <c r="A22" t="s">
        <v>92</v>
      </c>
      <c r="B22" t="s">
        <v>26</v>
      </c>
      <c r="C22" t="s">
        <v>93</v>
      </c>
      <c r="D22" t="s">
        <v>94</v>
      </c>
      <c r="E22" t="s">
        <v>95</v>
      </c>
      <c r="F22">
        <v>5</v>
      </c>
      <c r="G22">
        <v>0</v>
      </c>
      <c r="H22">
        <v>200</v>
      </c>
      <c r="I22">
        <f>=MAX(30,ROUND(($F22*$G22+$H22)/5,0)*5)</f>
        <v>200</v>
      </c>
      <c r="J22">
        <v>29</v>
      </c>
      <c r="K22">
        <v>29</v>
      </c>
      <c r="L22">
        <v>6</v>
      </c>
    </row>
    <row r="23" spans="1:12" x14ac:dyDescent="0.25">
      <c r="A23" t="s">
        <v>96</v>
      </c>
      <c r="B23" t="s">
        <v>13</v>
      </c>
      <c r="C23" t="s">
        <v>97</v>
      </c>
      <c r="D23" t="s">
        <v>98</v>
      </c>
      <c r="E23" t="s">
        <v>99</v>
      </c>
      <c r="F23" t="s">
        <v>20</v>
      </c>
      <c r="G23">
        <v>22</v>
      </c>
      <c r="H23">
        <v>20</v>
      </c>
      <c r="I23">
        <f>=MAX(30,ROUND(($F23*$G23+$H23)/5,0)*5)</f>
        <v>30</v>
      </c>
      <c r="J23">
        <v>699</v>
      </c>
      <c r="K23">
        <v>699</v>
      </c>
      <c r="L23">
        <v>154</v>
      </c>
    </row>
    <row r="24" spans="1:12" x14ac:dyDescent="0.25">
      <c r="A24" t="s">
        <v>100</v>
      </c>
      <c r="B24" t="s">
        <v>55</v>
      </c>
      <c r="C24" t="s">
        <v>101</v>
      </c>
      <c r="D24" t="s">
        <v>102</v>
      </c>
      <c r="E24" t="s">
        <v>103</v>
      </c>
      <c r="F24" t="s">
        <v>20</v>
      </c>
      <c r="G24">
        <v>0</v>
      </c>
      <c r="H24">
        <v>260</v>
      </c>
      <c r="I24">
        <f>=MAX(30,ROUND(($F24*$G24+$H24)/5,0)*5)</f>
        <v>260</v>
      </c>
      <c r="J24">
        <v>699</v>
      </c>
      <c r="K24">
        <v>769</v>
      </c>
      <c r="L24">
        <v>169</v>
      </c>
    </row>
    <row r="25" spans="1:12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>
        <v>2</v>
      </c>
      <c r="G25">
        <v>8</v>
      </c>
      <c r="H25">
        <v>18</v>
      </c>
      <c r="I25">
        <f>=MAX(30,ROUND(($F25*$G25+$H25)/5,0)*5)</f>
        <v>35</v>
      </c>
      <c r="J25">
        <v>399</v>
      </c>
      <c r="K25">
        <v>439</v>
      </c>
      <c r="L25">
        <v>97</v>
      </c>
    </row>
    <row r="26" spans="1:12" x14ac:dyDescent="0.25">
      <c r="A26" t="s">
        <v>109</v>
      </c>
      <c r="B26" t="s">
        <v>26</v>
      </c>
      <c r="C26" t="s">
        <v>78</v>
      </c>
      <c r="D26" t="s">
        <v>110</v>
      </c>
      <c r="E26" t="s">
        <v>111</v>
      </c>
      <c r="F26" t="s">
        <v>20</v>
      </c>
      <c r="G26">
        <v>0</v>
      </c>
      <c r="H26">
        <v>200</v>
      </c>
      <c r="I26">
        <f>=MAX(30,ROUND(($F26*$G26+$H26)/5,0)*5)</f>
        <v>200</v>
      </c>
      <c r="J26">
        <v>699</v>
      </c>
      <c r="K26">
        <v>769</v>
      </c>
      <c r="L26">
        <v>169</v>
      </c>
    </row>
    <row r="27" spans="1:12" x14ac:dyDescent="0.25">
      <c r="A27" t="s">
        <v>112</v>
      </c>
      <c r="B27" t="s">
        <v>26</v>
      </c>
      <c r="C27" t="s">
        <v>113</v>
      </c>
      <c r="D27" t="s">
        <v>114</v>
      </c>
      <c r="E27" t="s">
        <v>115</v>
      </c>
      <c r="F27" t="s">
        <v>20</v>
      </c>
      <c r="G27">
        <v>0</v>
      </c>
      <c r="H27">
        <v>200</v>
      </c>
      <c r="I27">
        <f>=MAX(30,ROUND(($F27*$G27+$H27)/5,0)*5)</f>
        <v>200</v>
      </c>
      <c r="J27">
        <v>999</v>
      </c>
      <c r="K27">
        <v>999</v>
      </c>
      <c r="L27">
        <v>220</v>
      </c>
    </row>
    <row r="28" spans="1:12" x14ac:dyDescent="0.25">
      <c r="A28" t="s">
        <v>116</v>
      </c>
      <c r="B28" t="s">
        <v>26</v>
      </c>
      <c r="C28" t="s">
        <v>117</v>
      </c>
      <c r="D28" t="s">
        <v>118</v>
      </c>
      <c r="E28" t="s">
        <v>119</v>
      </c>
      <c r="F28">
        <v>1</v>
      </c>
      <c r="G28">
        <v>0</v>
      </c>
      <c r="H28">
        <v>200</v>
      </c>
      <c r="I28">
        <f>=MAX(30,ROUND(($F28*$G28+$H28)/5,0)*5)</f>
        <v>200</v>
      </c>
      <c r="J28">
        <v>899</v>
      </c>
      <c r="K28">
        <v>989</v>
      </c>
      <c r="L28">
        <v>218</v>
      </c>
    </row>
    <row r="29" spans="1:12" x14ac:dyDescent="0.25">
      <c r="A29" t="s">
        <v>120</v>
      </c>
      <c r="B29" t="s">
        <v>13</v>
      </c>
      <c r="C29" t="s">
        <v>121</v>
      </c>
      <c r="D29" t="s">
        <v>122</v>
      </c>
      <c r="E29" t="s">
        <v>123</v>
      </c>
      <c r="F29" t="s">
        <v>20</v>
      </c>
      <c r="G29">
        <v>22</v>
      </c>
      <c r="H29">
        <v>20</v>
      </c>
      <c r="I29">
        <f>=MAX(30,ROUND(($F29*$G29+$H29)/5,0)*5)</f>
        <v>30</v>
      </c>
      <c r="J29">
        <v>699</v>
      </c>
      <c r="K29">
        <v>769</v>
      </c>
      <c r="L29">
        <v>169</v>
      </c>
    </row>
    <row r="30" spans="1:12" x14ac:dyDescent="0.25">
      <c r="A30" t="s">
        <v>124</v>
      </c>
      <c r="B30" t="s">
        <v>13</v>
      </c>
      <c r="C30" t="s">
        <v>125</v>
      </c>
      <c r="D30" t="s">
        <v>126</v>
      </c>
      <c r="E30" t="s">
        <v>127</v>
      </c>
      <c r="F30">
        <v>7</v>
      </c>
      <c r="G30">
        <v>22</v>
      </c>
      <c r="H30">
        <v>20</v>
      </c>
      <c r="I30">
        <f>=MAX(30,ROUND(($F30*$G30+$H30)/5,0)*5)</f>
        <v>175</v>
      </c>
      <c r="J30">
        <v>349</v>
      </c>
      <c r="K30">
        <v>349</v>
      </c>
      <c r="L30">
        <v>77</v>
      </c>
    </row>
    <row r="31" spans="1:12" x14ac:dyDescent="0.25">
      <c r="A31" t="s">
        <v>128</v>
      </c>
      <c r="B31" t="s">
        <v>26</v>
      </c>
      <c r="C31" t="s">
        <v>51</v>
      </c>
      <c r="D31" t="s">
        <v>129</v>
      </c>
      <c r="E31" t="s">
        <v>130</v>
      </c>
      <c r="F31" t="s">
        <v>20</v>
      </c>
      <c r="G31">
        <v>0</v>
      </c>
      <c r="H31">
        <v>200</v>
      </c>
      <c r="I31">
        <f>=MAX(30,ROUND(($F31*$G31+$H31)/5,0)*5)</f>
        <v>200</v>
      </c>
      <c r="J31">
        <v>999</v>
      </c>
      <c r="K31">
        <v>1099</v>
      </c>
      <c r="L31">
        <v>242</v>
      </c>
    </row>
    <row r="32" spans="1:12" x14ac:dyDescent="0.25">
      <c r="A32" t="s">
        <v>131</v>
      </c>
      <c r="B32" t="s">
        <v>13</v>
      </c>
      <c r="C32" t="s">
        <v>132</v>
      </c>
      <c r="D32" t="s">
        <v>133</v>
      </c>
      <c r="E32" t="s">
        <v>134</v>
      </c>
      <c r="F32">
        <v>10</v>
      </c>
      <c r="G32">
        <v>22</v>
      </c>
      <c r="H32">
        <v>20</v>
      </c>
      <c r="I32">
        <f>=MAX(30,ROUND(($F32*$G32+$H32)/5,0)*5)</f>
        <v>240</v>
      </c>
      <c r="J32">
        <v>499</v>
      </c>
      <c r="K32">
        <v>499</v>
      </c>
      <c r="L32">
        <v>110</v>
      </c>
    </row>
    <row r="33" spans="1:12" x14ac:dyDescent="0.25">
      <c r="A33" t="s">
        <v>135</v>
      </c>
      <c r="B33" t="s">
        <v>35</v>
      </c>
      <c r="C33" t="s">
        <v>136</v>
      </c>
      <c r="D33" t="s">
        <v>137</v>
      </c>
      <c r="E33" t="s">
        <v>138</v>
      </c>
      <c r="F33" t="s">
        <v>20</v>
      </c>
      <c r="G33">
        <v>0</v>
      </c>
      <c r="H33">
        <v>150</v>
      </c>
      <c r="I33">
        <f>=MAX(30,ROUND(($F33*$G33+$H33)/5,0)*5)</f>
        <v>150</v>
      </c>
      <c r="J33">
        <v>999</v>
      </c>
      <c r="K33">
        <v>999</v>
      </c>
      <c r="L33">
        <v>220</v>
      </c>
    </row>
    <row r="34" spans="1:12" x14ac:dyDescent="0.25">
      <c r="A34" t="s">
        <v>139</v>
      </c>
      <c r="B34" t="s">
        <v>26</v>
      </c>
      <c r="C34" t="s">
        <v>140</v>
      </c>
      <c r="D34" t="s">
        <v>141</v>
      </c>
      <c r="E34" t="s">
        <v>142</v>
      </c>
      <c r="F34" t="s">
        <v>20</v>
      </c>
      <c r="G34">
        <v>0</v>
      </c>
      <c r="H34">
        <v>200</v>
      </c>
      <c r="I34">
        <f>=MAX(30,ROUND(($F34*$G34+$H34)/5,0)*5)</f>
        <v>200</v>
      </c>
      <c r="J34">
        <v>999</v>
      </c>
      <c r="K34">
        <v>999</v>
      </c>
      <c r="L34">
        <v>220</v>
      </c>
    </row>
    <row r="35" spans="1:12" x14ac:dyDescent="0.25">
      <c r="A35" t="s">
        <v>143</v>
      </c>
      <c r="B35" t="s">
        <v>13</v>
      </c>
      <c r="C35" t="s">
        <v>144</v>
      </c>
      <c r="D35" t="s">
        <v>145</v>
      </c>
      <c r="E35" t="s">
        <v>146</v>
      </c>
      <c r="F35">
        <v>20</v>
      </c>
      <c r="G35">
        <v>22</v>
      </c>
      <c r="H35">
        <v>20</v>
      </c>
      <c r="I35">
        <f>=MAX(30,ROUND(($F35*$G35+$H35)/5,0)*5)</f>
        <v>460</v>
      </c>
      <c r="J35">
        <v>899</v>
      </c>
      <c r="K35">
        <v>989</v>
      </c>
      <c r="L35">
        <v>218</v>
      </c>
    </row>
    <row r="36" spans="1:12" x14ac:dyDescent="0.25">
      <c r="A36" t="s">
        <v>147</v>
      </c>
      <c r="B36" t="s">
        <v>26</v>
      </c>
      <c r="C36" t="s">
        <v>148</v>
      </c>
      <c r="D36" t="s">
        <v>149</v>
      </c>
      <c r="E36" t="s">
        <v>150</v>
      </c>
      <c r="F36" t="s">
        <v>20</v>
      </c>
      <c r="G36">
        <v>0</v>
      </c>
      <c r="H36">
        <v>200</v>
      </c>
      <c r="I36">
        <f>=MAX(30,ROUND(($F36*$G36+$H36)/5,0)*5)</f>
        <v>200</v>
      </c>
      <c r="J36">
        <v>299</v>
      </c>
      <c r="K36">
        <v>299</v>
      </c>
      <c r="L36">
        <v>66</v>
      </c>
    </row>
    <row r="37" spans="1:12" x14ac:dyDescent="0.25">
      <c r="A37" t="s">
        <v>151</v>
      </c>
      <c r="B37" t="s">
        <v>35</v>
      </c>
      <c r="C37" t="s">
        <v>136</v>
      </c>
      <c r="D37" t="s">
        <v>152</v>
      </c>
      <c r="E37" t="s">
        <v>153</v>
      </c>
      <c r="F37" t="s">
        <v>20</v>
      </c>
      <c r="G37">
        <v>0</v>
      </c>
      <c r="H37">
        <v>150</v>
      </c>
      <c r="I37">
        <f>=MAX(30,ROUND(($F37*$G37+$H37)/5,0)*5)</f>
        <v>150</v>
      </c>
      <c r="J37">
        <v>999</v>
      </c>
      <c r="K37">
        <v>1099</v>
      </c>
      <c r="L37">
        <v>242</v>
      </c>
    </row>
    <row r="38" spans="1:12" x14ac:dyDescent="0.25">
      <c r="A38" t="s">
        <v>154</v>
      </c>
      <c r="B38" t="s">
        <v>105</v>
      </c>
      <c r="C38" t="s">
        <v>155</v>
      </c>
      <c r="D38" t="s">
        <v>156</v>
      </c>
      <c r="E38" t="s">
        <v>157</v>
      </c>
      <c r="F38" t="s">
        <v>20</v>
      </c>
      <c r="G38">
        <v>8</v>
      </c>
      <c r="H38">
        <v>18</v>
      </c>
      <c r="I38">
        <f>=MAX(30,ROUND(($F38*$G38+$H38)/5,0)*5)</f>
        <v>30</v>
      </c>
      <c r="J38">
        <v>699</v>
      </c>
      <c r="K38">
        <v>769</v>
      </c>
      <c r="L38">
        <v>169</v>
      </c>
    </row>
    <row r="39" spans="1:12" x14ac:dyDescent="0.25">
      <c r="A39" t="s">
        <v>158</v>
      </c>
      <c r="B39" t="s">
        <v>35</v>
      </c>
      <c r="C39" t="s">
        <v>93</v>
      </c>
      <c r="D39" t="s">
        <v>159</v>
      </c>
      <c r="E39" t="s">
        <v>160</v>
      </c>
      <c r="F39" t="s">
        <v>20</v>
      </c>
      <c r="G39">
        <v>0</v>
      </c>
      <c r="H39">
        <v>150</v>
      </c>
      <c r="I39">
        <f>=MAX(30,ROUND(($F39*$G39+$H39)/5,0)*5)</f>
        <v>150</v>
      </c>
      <c r="J39">
        <v>999</v>
      </c>
      <c r="K39">
        <v>999</v>
      </c>
      <c r="L39">
        <v>220</v>
      </c>
    </row>
    <row r="40" spans="1:12" x14ac:dyDescent="0.25">
      <c r="A40" t="s">
        <v>161</v>
      </c>
      <c r="B40" t="s">
        <v>13</v>
      </c>
      <c r="C40" t="s">
        <v>14</v>
      </c>
      <c r="D40" t="s">
        <v>162</v>
      </c>
      <c r="E40" t="s">
        <v>163</v>
      </c>
      <c r="F40" t="s">
        <v>20</v>
      </c>
      <c r="G40">
        <v>22</v>
      </c>
      <c r="H40">
        <v>20</v>
      </c>
      <c r="I40">
        <f>=MAX(30,ROUND(($F40*$G40+$H40)/5,0)*5)</f>
        <v>30</v>
      </c>
      <c r="J40">
        <v>599</v>
      </c>
      <c r="K40">
        <v>599</v>
      </c>
      <c r="L40">
        <v>132</v>
      </c>
    </row>
    <row r="41" spans="1:12" x14ac:dyDescent="0.25">
      <c r="A41" t="s">
        <v>164</v>
      </c>
      <c r="B41" t="s">
        <v>13</v>
      </c>
      <c r="C41" t="s">
        <v>14</v>
      </c>
      <c r="D41" t="s">
        <v>165</v>
      </c>
      <c r="E41" t="s">
        <v>166</v>
      </c>
      <c r="F41" t="s">
        <v>20</v>
      </c>
      <c r="G41">
        <v>22</v>
      </c>
      <c r="H41">
        <v>20</v>
      </c>
      <c r="I41">
        <f>=MAX(30,ROUND(($F41*$G41+$H41)/5,0)*5)</f>
        <v>30</v>
      </c>
      <c r="J41">
        <v>599</v>
      </c>
      <c r="K41">
        <v>599</v>
      </c>
      <c r="L41">
        <v>132</v>
      </c>
    </row>
    <row r="42" spans="1:12" x14ac:dyDescent="0.25">
      <c r="A42" t="s">
        <v>167</v>
      </c>
      <c r="B42" t="s">
        <v>26</v>
      </c>
      <c r="C42" t="s">
        <v>168</v>
      </c>
      <c r="D42" t="s">
        <v>169</v>
      </c>
      <c r="E42" t="s">
        <v>170</v>
      </c>
      <c r="F42" t="s">
        <v>20</v>
      </c>
      <c r="G42">
        <v>0</v>
      </c>
      <c r="H42">
        <v>200</v>
      </c>
      <c r="I42">
        <f>=MAX(30,ROUND(($F42*$G42+$H42)/5,0)*5)</f>
        <v>200</v>
      </c>
      <c r="J42">
        <v>1999</v>
      </c>
      <c r="K42">
        <v>1999</v>
      </c>
      <c r="L42">
        <v>440</v>
      </c>
    </row>
    <row r="43" spans="1:12" x14ac:dyDescent="0.25">
      <c r="A43" t="s">
        <v>171</v>
      </c>
      <c r="B43" t="s">
        <v>55</v>
      </c>
      <c r="C43" t="s">
        <v>56</v>
      </c>
      <c r="D43" t="s">
        <v>172</v>
      </c>
      <c r="E43" t="s">
        <v>173</v>
      </c>
      <c r="F43" t="s">
        <v>20</v>
      </c>
      <c r="G43">
        <v>0</v>
      </c>
      <c r="H43">
        <v>260</v>
      </c>
      <c r="I43">
        <f>=MAX(30,ROUND(($F43*$G43+$H43)/5,0)*5)</f>
        <v>260</v>
      </c>
      <c r="J43">
        <v>1200</v>
      </c>
      <c r="K43">
        <v>1200</v>
      </c>
      <c r="L43">
        <v>264</v>
      </c>
    </row>
    <row r="44" spans="1:12" x14ac:dyDescent="0.25">
      <c r="A44" t="s">
        <v>174</v>
      </c>
      <c r="B44" t="s">
        <v>13</v>
      </c>
      <c r="C44" t="s">
        <v>175</v>
      </c>
      <c r="D44" t="s">
        <v>176</v>
      </c>
      <c r="E44" t="s">
        <v>177</v>
      </c>
      <c r="F44" t="s">
        <v>20</v>
      </c>
      <c r="G44">
        <v>22</v>
      </c>
      <c r="H44">
        <v>20</v>
      </c>
      <c r="I44">
        <f>=MAX(30,ROUND(($F44*$G44+$H44)/5,0)*5)</f>
        <v>30</v>
      </c>
      <c r="J44">
        <v>599</v>
      </c>
      <c r="K44">
        <v>659</v>
      </c>
      <c r="L44">
        <v>145</v>
      </c>
    </row>
    <row r="45" spans="1:12" x14ac:dyDescent="0.25">
      <c r="A45" t="s">
        <v>178</v>
      </c>
      <c r="B45" t="s">
        <v>13</v>
      </c>
      <c r="C45" t="s">
        <v>22</v>
      </c>
      <c r="D45" t="s">
        <v>179</v>
      </c>
      <c r="E45" t="s">
        <v>180</v>
      </c>
      <c r="F45">
        <v>7</v>
      </c>
      <c r="G45">
        <v>22</v>
      </c>
      <c r="H45">
        <v>20</v>
      </c>
      <c r="I45">
        <f>=MAX(30,ROUND(($F45*$G45+$H45)/5,0)*5)</f>
        <v>175</v>
      </c>
    </row>
    <row r="46" spans="1:12" x14ac:dyDescent="0.25">
      <c r="A46" t="s">
        <v>181</v>
      </c>
      <c r="B46" t="s">
        <v>26</v>
      </c>
      <c r="C46" t="s">
        <v>168</v>
      </c>
      <c r="D46" t="s">
        <v>182</v>
      </c>
      <c r="E46" t="s">
        <v>183</v>
      </c>
      <c r="F46" t="s">
        <v>20</v>
      </c>
      <c r="G46">
        <v>0</v>
      </c>
      <c r="H46">
        <v>200</v>
      </c>
      <c r="I46">
        <f>=MAX(30,ROUND(($F46*$G46+$H46)/5,0)*5)</f>
        <v>200</v>
      </c>
      <c r="J46">
        <v>1980</v>
      </c>
      <c r="K46">
        <v>1980</v>
      </c>
      <c r="L46">
        <v>436</v>
      </c>
    </row>
    <row r="47" spans="1:12" x14ac:dyDescent="0.25">
      <c r="A47" t="s">
        <v>184</v>
      </c>
      <c r="B47" t="s">
        <v>13</v>
      </c>
      <c r="C47" t="s">
        <v>185</v>
      </c>
      <c r="D47" t="s">
        <v>186</v>
      </c>
      <c r="E47" t="s">
        <v>187</v>
      </c>
      <c r="F47">
        <v>1</v>
      </c>
      <c r="G47">
        <v>22</v>
      </c>
      <c r="H47">
        <v>20</v>
      </c>
      <c r="I47">
        <f>=MAX(30,ROUND(($F47*$G47+$H47)/5,0)*5)</f>
        <v>40</v>
      </c>
      <c r="J47">
        <v>99</v>
      </c>
      <c r="K47">
        <v>99</v>
      </c>
      <c r="L47">
        <v>22</v>
      </c>
    </row>
    <row r="48" spans="1:12" x14ac:dyDescent="0.25">
      <c r="A48" t="s">
        <v>188</v>
      </c>
      <c r="B48" t="s">
        <v>13</v>
      </c>
      <c r="C48" t="s">
        <v>168</v>
      </c>
      <c r="D48" t="s">
        <v>189</v>
      </c>
      <c r="E48" t="s">
        <v>190</v>
      </c>
      <c r="F48">
        <v>7</v>
      </c>
      <c r="G48">
        <v>22</v>
      </c>
      <c r="H48">
        <v>20</v>
      </c>
      <c r="I48">
        <f>=MAX(30,ROUND(($F48*$G48+$H48)/5,0)*5)</f>
        <v>175</v>
      </c>
      <c r="J48">
        <v>499</v>
      </c>
      <c r="K48">
        <v>499</v>
      </c>
      <c r="L48">
        <v>110</v>
      </c>
    </row>
    <row r="49" spans="1:12" x14ac:dyDescent="0.25">
      <c r="A49" t="s">
        <v>191</v>
      </c>
      <c r="B49" t="s">
        <v>13</v>
      </c>
      <c r="C49" t="s">
        <v>168</v>
      </c>
      <c r="D49" t="s">
        <v>192</v>
      </c>
      <c r="E49" t="s">
        <v>193</v>
      </c>
      <c r="F49">
        <v>7</v>
      </c>
      <c r="G49">
        <v>22</v>
      </c>
      <c r="H49">
        <v>20</v>
      </c>
      <c r="I49">
        <f>=MAX(30,ROUND(($F49*$G49+$H49)/5,0)*5)</f>
        <v>175</v>
      </c>
      <c r="J49">
        <v>699</v>
      </c>
      <c r="K49">
        <v>699</v>
      </c>
      <c r="L49">
        <v>154</v>
      </c>
    </row>
    <row r="50" spans="1:12" x14ac:dyDescent="0.25">
      <c r="A50" t="s">
        <v>194</v>
      </c>
      <c r="B50" t="s">
        <v>35</v>
      </c>
      <c r="C50" t="s">
        <v>168</v>
      </c>
      <c r="D50" t="s">
        <v>195</v>
      </c>
      <c r="E50" t="s">
        <v>196</v>
      </c>
      <c r="F50" t="s">
        <v>20</v>
      </c>
      <c r="G50">
        <v>0</v>
      </c>
      <c r="H50">
        <v>150</v>
      </c>
      <c r="I50">
        <f>=MAX(30,ROUND(($F50*$G50+$H50)/5,0)*5)</f>
        <v>150</v>
      </c>
      <c r="J50">
        <v>999</v>
      </c>
      <c r="K50">
        <v>1099</v>
      </c>
      <c r="L50">
        <v>242</v>
      </c>
    </row>
    <row r="51" spans="1:12" x14ac:dyDescent="0.25">
      <c r="A51" t="s">
        <v>197</v>
      </c>
      <c r="B51" t="s">
        <v>55</v>
      </c>
      <c r="C51" t="s">
        <v>56</v>
      </c>
      <c r="D51" t="s">
        <v>198</v>
      </c>
      <c r="E51" t="s">
        <v>199</v>
      </c>
      <c r="F51" t="s">
        <v>20</v>
      </c>
      <c r="G51">
        <v>0</v>
      </c>
      <c r="H51">
        <v>260</v>
      </c>
      <c r="I51">
        <f>=MAX(30,ROUND(($F51*$G51+$H51)/5,0)*5)</f>
        <v>260</v>
      </c>
      <c r="J51">
        <v>1300</v>
      </c>
      <c r="K51">
        <v>1300</v>
      </c>
      <c r="L51">
        <v>286</v>
      </c>
    </row>
    <row r="52" spans="1:12" x14ac:dyDescent="0.25">
      <c r="A52" t="s">
        <v>200</v>
      </c>
      <c r="B52" t="s">
        <v>26</v>
      </c>
      <c r="C52" t="s">
        <v>201</v>
      </c>
      <c r="D52" t="s">
        <v>202</v>
      </c>
      <c r="E52" t="s">
        <v>203</v>
      </c>
      <c r="F52" t="s">
        <v>20</v>
      </c>
      <c r="G52">
        <v>0</v>
      </c>
      <c r="H52">
        <v>200</v>
      </c>
      <c r="I52">
        <f>=MAX(30,ROUND(($F52*$G52+$H52)/5,0)*5)</f>
        <v>200</v>
      </c>
      <c r="J52">
        <v>399</v>
      </c>
      <c r="K52">
        <v>399</v>
      </c>
      <c r="L52">
        <v>88</v>
      </c>
    </row>
    <row r="53" spans="1:12" x14ac:dyDescent="0.25">
      <c r="A53" t="s">
        <v>204</v>
      </c>
      <c r="B53" t="s">
        <v>105</v>
      </c>
      <c r="C53" t="s">
        <v>205</v>
      </c>
      <c r="D53" t="s">
        <v>206</v>
      </c>
      <c r="E53" t="s">
        <v>207</v>
      </c>
      <c r="F53">
        <v>120</v>
      </c>
      <c r="G53">
        <v>8</v>
      </c>
      <c r="H53">
        <v>18</v>
      </c>
      <c r="I53">
        <f>=MAX(30,ROUND(($F53*$G53+$H53)/5,0)*5)</f>
        <v>980</v>
      </c>
      <c r="J53">
        <v>699</v>
      </c>
      <c r="K53">
        <v>769</v>
      </c>
      <c r="L53">
        <v>169</v>
      </c>
    </row>
    <row r="54" spans="1:12" x14ac:dyDescent="0.25">
      <c r="A54" t="s">
        <v>208</v>
      </c>
      <c r="B54" t="s">
        <v>13</v>
      </c>
      <c r="C54" t="s">
        <v>22</v>
      </c>
      <c r="D54" t="s">
        <v>209</v>
      </c>
      <c r="E54" t="s">
        <v>210</v>
      </c>
      <c r="F54">
        <v>7</v>
      </c>
      <c r="G54">
        <v>22</v>
      </c>
      <c r="H54">
        <v>20</v>
      </c>
      <c r="I54">
        <f>=MAX(30,ROUND(($F54*$G54+$H54)/5,0)*5)</f>
        <v>175</v>
      </c>
    </row>
    <row r="55" spans="1:12" x14ac:dyDescent="0.25">
      <c r="A55" t="s">
        <v>211</v>
      </c>
      <c r="B55" t="s">
        <v>35</v>
      </c>
      <c r="C55" t="s">
        <v>212</v>
      </c>
      <c r="D55" t="s">
        <v>213</v>
      </c>
      <c r="E55" t="s">
        <v>214</v>
      </c>
      <c r="F55">
        <v>6</v>
      </c>
      <c r="G55">
        <v>0</v>
      </c>
      <c r="H55">
        <v>150</v>
      </c>
      <c r="I55">
        <f>=MAX(30,ROUND(($F55*$G55+$H55)/5,0)*5)</f>
        <v>150</v>
      </c>
      <c r="J55">
        <v>299</v>
      </c>
      <c r="K55">
        <v>299</v>
      </c>
      <c r="L55">
        <v>66</v>
      </c>
    </row>
    <row r="56" spans="1:12" x14ac:dyDescent="0.25">
      <c r="A56" t="s">
        <v>215</v>
      </c>
      <c r="B56" t="s">
        <v>35</v>
      </c>
      <c r="C56" t="s">
        <v>51</v>
      </c>
      <c r="D56" t="s">
        <v>216</v>
      </c>
      <c r="E56" t="s">
        <v>217</v>
      </c>
      <c r="F56" t="s">
        <v>20</v>
      </c>
      <c r="G56">
        <v>0</v>
      </c>
      <c r="H56">
        <v>150</v>
      </c>
      <c r="I56">
        <f>=MAX(30,ROUND(($F56*$G56+$H56)/5,0)*5)</f>
        <v>150</v>
      </c>
      <c r="J56">
        <v>999</v>
      </c>
      <c r="K56">
        <v>1099</v>
      </c>
      <c r="L56">
        <v>242</v>
      </c>
    </row>
    <row r="57" spans="1:12" x14ac:dyDescent="0.25">
      <c r="A57" t="s">
        <v>218</v>
      </c>
      <c r="B57" t="s">
        <v>26</v>
      </c>
      <c r="C57" t="s">
        <v>168</v>
      </c>
      <c r="D57" t="s">
        <v>219</v>
      </c>
      <c r="E57" t="s">
        <v>220</v>
      </c>
      <c r="F57" t="s">
        <v>20</v>
      </c>
      <c r="G57">
        <v>0</v>
      </c>
      <c r="H57">
        <v>200</v>
      </c>
      <c r="I57">
        <f>=MAX(30,ROUND(($F57*$G57+$H57)/5,0)*5)</f>
        <v>200</v>
      </c>
      <c r="J57">
        <v>999</v>
      </c>
      <c r="K57">
        <v>1099</v>
      </c>
      <c r="L57">
        <v>242</v>
      </c>
    </row>
    <row r="58" spans="1:12" x14ac:dyDescent="0.25">
      <c r="A58" t="s">
        <v>221</v>
      </c>
      <c r="B58" t="s">
        <v>26</v>
      </c>
      <c r="C58" t="s">
        <v>222</v>
      </c>
      <c r="D58" t="s">
        <v>223</v>
      </c>
      <c r="E58" t="s">
        <v>224</v>
      </c>
      <c r="F58" t="s">
        <v>20</v>
      </c>
      <c r="G58">
        <v>0</v>
      </c>
      <c r="H58">
        <v>200</v>
      </c>
      <c r="I58">
        <f>=MAX(30,ROUND(($F58*$G58+$H58)/5,0)*5)</f>
        <v>200</v>
      </c>
      <c r="J58">
        <v>299</v>
      </c>
      <c r="K58">
        <v>329</v>
      </c>
      <c r="L58">
        <v>72</v>
      </c>
    </row>
    <row r="59" spans="1:12" x14ac:dyDescent="0.25">
      <c r="A59" t="s">
        <v>225</v>
      </c>
      <c r="B59" t="s">
        <v>13</v>
      </c>
      <c r="C59" t="s">
        <v>185</v>
      </c>
      <c r="D59" t="s">
        <v>226</v>
      </c>
      <c r="E59" t="s">
        <v>227</v>
      </c>
      <c r="F59">
        <v>1</v>
      </c>
      <c r="G59">
        <v>22</v>
      </c>
      <c r="H59">
        <v>20</v>
      </c>
      <c r="I59">
        <f>=MAX(30,ROUND(($F59*$G59+$H59)/5,0)*5)</f>
        <v>40</v>
      </c>
      <c r="J59">
        <v>99</v>
      </c>
      <c r="K59">
        <v>109</v>
      </c>
      <c r="L59">
        <v>24</v>
      </c>
    </row>
    <row r="60" spans="1:12" x14ac:dyDescent="0.25">
      <c r="A60" t="s">
        <v>228</v>
      </c>
      <c r="B60" t="s">
        <v>26</v>
      </c>
      <c r="C60" t="s">
        <v>201</v>
      </c>
      <c r="D60" t="s">
        <v>229</v>
      </c>
      <c r="E60" t="s">
        <v>230</v>
      </c>
      <c r="F60" t="s">
        <v>20</v>
      </c>
      <c r="G60">
        <v>0</v>
      </c>
      <c r="H60">
        <v>200</v>
      </c>
      <c r="I60">
        <f>=MAX(30,ROUND(($F60*$G60+$H60)/5,0)*5)</f>
        <v>200</v>
      </c>
      <c r="J60">
        <v>399</v>
      </c>
      <c r="K60">
        <v>439</v>
      </c>
      <c r="L60">
        <v>97</v>
      </c>
    </row>
    <row r="61" spans="1:12" x14ac:dyDescent="0.25">
      <c r="A61" t="s">
        <v>231</v>
      </c>
      <c r="B61" t="s">
        <v>13</v>
      </c>
      <c r="C61" t="s">
        <v>74</v>
      </c>
      <c r="D61" t="s">
        <v>232</v>
      </c>
      <c r="E61" t="s">
        <v>233</v>
      </c>
      <c r="F61">
        <v>50</v>
      </c>
      <c r="G61">
        <v>22</v>
      </c>
      <c r="H61">
        <v>20</v>
      </c>
      <c r="I61">
        <f>=MAX(30,ROUND(($F61*$G61+$H61)/5,0)*5)</f>
        <v>1120</v>
      </c>
      <c r="J61">
        <v>499</v>
      </c>
      <c r="K61">
        <v>499</v>
      </c>
      <c r="L61">
        <v>110</v>
      </c>
    </row>
    <row r="62" spans="1:12" x14ac:dyDescent="0.25">
      <c r="A62" t="s">
        <v>234</v>
      </c>
      <c r="B62" t="s">
        <v>13</v>
      </c>
      <c r="C62" t="s">
        <v>222</v>
      </c>
      <c r="D62" t="s">
        <v>235</v>
      </c>
      <c r="E62" t="s">
        <v>236</v>
      </c>
      <c r="F62">
        <v>30</v>
      </c>
      <c r="G62">
        <v>22</v>
      </c>
      <c r="H62">
        <v>20</v>
      </c>
      <c r="I62">
        <f>=MAX(30,ROUND(($F62*$G62+$H62)/5,0)*5)</f>
        <v>680</v>
      </c>
      <c r="J62">
        <v>499</v>
      </c>
      <c r="K62">
        <v>499</v>
      </c>
      <c r="L62">
        <v>110</v>
      </c>
    </row>
    <row r="63" spans="1:12" x14ac:dyDescent="0.25">
      <c r="A63" t="s">
        <v>237</v>
      </c>
      <c r="B63" t="s">
        <v>13</v>
      </c>
      <c r="C63" t="s">
        <v>205</v>
      </c>
      <c r="D63" t="s">
        <v>238</v>
      </c>
      <c r="E63" t="s">
        <v>239</v>
      </c>
      <c r="F63">
        <v>31</v>
      </c>
      <c r="G63">
        <v>22</v>
      </c>
      <c r="H63">
        <v>20</v>
      </c>
      <c r="I63">
        <f>=MAX(30,ROUND(($F63*$G63+$H63)/5,0)*5)</f>
        <v>700</v>
      </c>
      <c r="J63">
        <v>699</v>
      </c>
      <c r="K63">
        <v>769</v>
      </c>
      <c r="L63">
        <v>169</v>
      </c>
    </row>
    <row r="64" spans="1:12" x14ac:dyDescent="0.25">
      <c r="A64" t="s">
        <v>240</v>
      </c>
      <c r="B64" t="s">
        <v>13</v>
      </c>
      <c r="C64" t="s">
        <v>241</v>
      </c>
      <c r="D64" t="s">
        <v>242</v>
      </c>
      <c r="E64" t="s">
        <v>243</v>
      </c>
      <c r="F64">
        <v>30</v>
      </c>
      <c r="G64">
        <v>22</v>
      </c>
      <c r="H64">
        <v>20</v>
      </c>
      <c r="I64">
        <f>=MAX(30,ROUND(($F64*$G64+$H64)/5,0)*5)</f>
        <v>680</v>
      </c>
      <c r="J64">
        <v>499</v>
      </c>
      <c r="K64">
        <v>549</v>
      </c>
      <c r="L64">
        <v>121</v>
      </c>
    </row>
    <row r="65" spans="1:12" x14ac:dyDescent="0.25">
      <c r="A65" t="s">
        <v>244</v>
      </c>
      <c r="B65" t="s">
        <v>13</v>
      </c>
      <c r="C65" t="s">
        <v>14</v>
      </c>
      <c r="D65" t="s">
        <v>245</v>
      </c>
      <c r="E65" t="s">
        <v>246</v>
      </c>
      <c r="F65" t="s">
        <v>20</v>
      </c>
      <c r="G65">
        <v>22</v>
      </c>
      <c r="H65">
        <v>20</v>
      </c>
      <c r="I65">
        <f>=MAX(30,ROUND(($F65*$G65+$H65)/5,0)*5)</f>
        <v>30</v>
      </c>
      <c r="J65">
        <v>599</v>
      </c>
      <c r="K65">
        <v>599</v>
      </c>
      <c r="L65">
        <v>132</v>
      </c>
    </row>
    <row r="66" spans="1:12" x14ac:dyDescent="0.25">
      <c r="A66" t="s">
        <v>247</v>
      </c>
      <c r="B66" t="s">
        <v>13</v>
      </c>
      <c r="C66" t="s">
        <v>14</v>
      </c>
      <c r="D66" t="s">
        <v>248</v>
      </c>
      <c r="E66" t="s">
        <v>166</v>
      </c>
      <c r="F66" t="s">
        <v>20</v>
      </c>
      <c r="G66">
        <v>22</v>
      </c>
      <c r="H66">
        <v>20</v>
      </c>
      <c r="I66">
        <f>=MAX(30,ROUND(($F66*$G66+$H66)/5,0)*5)</f>
        <v>30</v>
      </c>
      <c r="J66">
        <v>599</v>
      </c>
      <c r="K66">
        <v>599</v>
      </c>
      <c r="L66">
        <v>132</v>
      </c>
    </row>
    <row r="67" spans="1:12" x14ac:dyDescent="0.25">
      <c r="A67" t="s">
        <v>249</v>
      </c>
      <c r="B67" t="s">
        <v>13</v>
      </c>
      <c r="C67" t="s">
        <v>205</v>
      </c>
      <c r="D67" t="s">
        <v>250</v>
      </c>
      <c r="E67" t="s">
        <v>251</v>
      </c>
      <c r="F67">
        <v>31</v>
      </c>
      <c r="G67">
        <v>22</v>
      </c>
      <c r="H67">
        <v>20</v>
      </c>
      <c r="I67">
        <f>=MAX(30,ROUND(($F67*$G67+$H67)/5,0)*5)</f>
        <v>700</v>
      </c>
      <c r="J67">
        <v>699</v>
      </c>
      <c r="K67">
        <v>769</v>
      </c>
      <c r="L67">
        <v>169</v>
      </c>
    </row>
    <row r="68" spans="1:12" x14ac:dyDescent="0.25">
      <c r="A68" t="s">
        <v>252</v>
      </c>
      <c r="B68" t="s">
        <v>105</v>
      </c>
      <c r="C68" t="s">
        <v>205</v>
      </c>
      <c r="D68" t="s">
        <v>253</v>
      </c>
      <c r="E68" t="s">
        <v>254</v>
      </c>
      <c r="F68">
        <v>120</v>
      </c>
      <c r="G68">
        <v>8</v>
      </c>
      <c r="H68">
        <v>18</v>
      </c>
      <c r="I68">
        <f>=MAX(30,ROUND(($F68*$G68+$H68)/5,0)*5)</f>
        <v>980</v>
      </c>
      <c r="J68">
        <v>699</v>
      </c>
      <c r="K68">
        <v>769</v>
      </c>
      <c r="L68">
        <v>169</v>
      </c>
    </row>
    <row r="69" spans="1:12" x14ac:dyDescent="0.25">
      <c r="A69" t="s">
        <v>255</v>
      </c>
      <c r="B69" t="s">
        <v>26</v>
      </c>
      <c r="C69" t="s">
        <v>256</v>
      </c>
      <c r="D69" t="s">
        <v>257</v>
      </c>
      <c r="E69" t="s">
        <v>258</v>
      </c>
      <c r="F69" t="s">
        <v>20</v>
      </c>
      <c r="G69">
        <v>0</v>
      </c>
      <c r="H69">
        <v>200</v>
      </c>
      <c r="I69">
        <f>=MAX(30,ROUND(($F69*$G69+$H69)/5,0)*5)</f>
        <v>200</v>
      </c>
      <c r="J69">
        <v>899</v>
      </c>
      <c r="K69">
        <v>899</v>
      </c>
      <c r="L69">
        <v>198</v>
      </c>
    </row>
    <row r="70" spans="1:12" x14ac:dyDescent="0.25">
      <c r="A70" t="s">
        <v>259</v>
      </c>
      <c r="B70" t="s">
        <v>35</v>
      </c>
      <c r="C70" t="s">
        <v>168</v>
      </c>
      <c r="D70" t="s">
        <v>260</v>
      </c>
      <c r="E70" t="s">
        <v>261</v>
      </c>
      <c r="F70" t="s">
        <v>20</v>
      </c>
      <c r="G70">
        <v>0</v>
      </c>
      <c r="H70">
        <v>150</v>
      </c>
      <c r="I70">
        <f>=MAX(30,ROUND(($F70*$G70+$H70)/5,0)*5)</f>
        <v>150</v>
      </c>
      <c r="J70">
        <v>1980</v>
      </c>
      <c r="K70">
        <v>2178</v>
      </c>
      <c r="L70">
        <v>479</v>
      </c>
    </row>
    <row r="71" spans="1:12" x14ac:dyDescent="0.25">
      <c r="A71" t="s">
        <v>262</v>
      </c>
      <c r="B71" t="s">
        <v>13</v>
      </c>
      <c r="C71" t="s">
        <v>47</v>
      </c>
      <c r="D71" t="s">
        <v>263</v>
      </c>
      <c r="E71" t="s">
        <v>264</v>
      </c>
      <c r="F71">
        <v>30</v>
      </c>
      <c r="G71">
        <v>22</v>
      </c>
      <c r="H71">
        <v>20</v>
      </c>
      <c r="I71">
        <f>=MAX(30,ROUND(($F71*$G71+$H71)/5,0)*5)</f>
        <v>680</v>
      </c>
      <c r="J71">
        <v>499</v>
      </c>
      <c r="K71">
        <v>499</v>
      </c>
      <c r="L71">
        <v>110</v>
      </c>
    </row>
    <row r="72" spans="1:12" x14ac:dyDescent="0.25">
      <c r="A72" t="s">
        <v>265</v>
      </c>
      <c r="B72" t="s">
        <v>55</v>
      </c>
      <c r="C72" t="s">
        <v>266</v>
      </c>
      <c r="D72" t="s">
        <v>267</v>
      </c>
      <c r="E72" t="s">
        <v>268</v>
      </c>
      <c r="F72" t="s">
        <v>20</v>
      </c>
      <c r="G72">
        <v>0</v>
      </c>
      <c r="H72">
        <v>260</v>
      </c>
      <c r="I72">
        <f>=MAX(30,ROUND(($F72*$G72+$H72)/5,0)*5)</f>
        <v>260</v>
      </c>
      <c r="J72">
        <v>899</v>
      </c>
      <c r="K72">
        <v>989</v>
      </c>
      <c r="L72">
        <v>218</v>
      </c>
    </row>
    <row r="73" spans="1:12" x14ac:dyDescent="0.25">
      <c r="A73" t="s">
        <v>269</v>
      </c>
      <c r="B73" t="s">
        <v>13</v>
      </c>
      <c r="C73" t="s">
        <v>270</v>
      </c>
      <c r="D73" t="s">
        <v>271</v>
      </c>
      <c r="E73" t="s">
        <v>272</v>
      </c>
      <c r="F73">
        <v>30</v>
      </c>
      <c r="G73">
        <v>22</v>
      </c>
      <c r="H73">
        <v>20</v>
      </c>
      <c r="I73">
        <f>=MAX(30,ROUND(($F73*$G73+$H73)/5,0)*5)</f>
        <v>680</v>
      </c>
      <c r="J73">
        <v>399</v>
      </c>
      <c r="K73">
        <v>439</v>
      </c>
      <c r="L73">
        <v>97</v>
      </c>
    </row>
    <row r="74" spans="1:12" x14ac:dyDescent="0.25">
      <c r="A74" t="s">
        <v>273</v>
      </c>
      <c r="B74" t="s">
        <v>105</v>
      </c>
      <c r="C74" t="s">
        <v>274</v>
      </c>
      <c r="D74" t="s">
        <v>275</v>
      </c>
      <c r="E74" t="s">
        <v>276</v>
      </c>
      <c r="F74" t="s">
        <v>20</v>
      </c>
      <c r="G74">
        <v>8</v>
      </c>
      <c r="H74">
        <v>18</v>
      </c>
      <c r="I74">
        <f>=MAX(30,ROUND(($F74*$G74+$H74)/5,0)*5)</f>
        <v>30</v>
      </c>
    </row>
    <row r="75" spans="1:12" x14ac:dyDescent="0.25">
      <c r="A75" t="s">
        <v>277</v>
      </c>
      <c r="B75" t="s">
        <v>13</v>
      </c>
      <c r="C75" t="s">
        <v>278</v>
      </c>
      <c r="D75" t="s">
        <v>279</v>
      </c>
      <c r="E75" t="s">
        <v>280</v>
      </c>
      <c r="F75">
        <v>30</v>
      </c>
      <c r="G75">
        <v>22</v>
      </c>
      <c r="H75">
        <v>20</v>
      </c>
      <c r="I75">
        <f>=MAX(30,ROUND(($F75*$G75+$H75)/5,0)*5)</f>
        <v>680</v>
      </c>
    </row>
    <row r="76" spans="1:12" x14ac:dyDescent="0.25">
      <c r="A76" t="s">
        <v>281</v>
      </c>
      <c r="B76" t="s">
        <v>35</v>
      </c>
      <c r="C76" t="s">
        <v>266</v>
      </c>
      <c r="D76" t="s">
        <v>282</v>
      </c>
      <c r="E76" t="s">
        <v>283</v>
      </c>
      <c r="F76" t="s">
        <v>20</v>
      </c>
      <c r="G76">
        <v>0</v>
      </c>
      <c r="H76">
        <v>150</v>
      </c>
      <c r="I76">
        <f>=MAX(30,ROUND(($F76*$G76+$H76)/5,0)*5)</f>
        <v>150</v>
      </c>
      <c r="J76">
        <v>899</v>
      </c>
      <c r="K76">
        <v>989</v>
      </c>
      <c r="L76">
        <v>218</v>
      </c>
    </row>
    <row r="77" spans="1:12" x14ac:dyDescent="0.25">
      <c r="A77" t="s">
        <v>284</v>
      </c>
      <c r="B77" t="s">
        <v>26</v>
      </c>
      <c r="C77" t="s">
        <v>285</v>
      </c>
      <c r="D77" t="s">
        <v>286</v>
      </c>
      <c r="E77" t="s">
        <v>287</v>
      </c>
      <c r="F77" t="s">
        <v>20</v>
      </c>
      <c r="G77">
        <v>0</v>
      </c>
      <c r="H77">
        <v>200</v>
      </c>
      <c r="I77">
        <f>=MAX(30,ROUND(($F77*$G77+$H77)/5,0)*5)</f>
        <v>200</v>
      </c>
      <c r="J77">
        <v>499</v>
      </c>
      <c r="K77">
        <v>549</v>
      </c>
      <c r="L77">
        <v>121</v>
      </c>
    </row>
    <row r="78" spans="1:12" x14ac:dyDescent="0.25">
      <c r="A78" t="s">
        <v>288</v>
      </c>
      <c r="B78" t="s">
        <v>55</v>
      </c>
      <c r="C78" t="s">
        <v>14</v>
      </c>
      <c r="D78" t="s">
        <v>289</v>
      </c>
      <c r="E78" t="s">
        <v>290</v>
      </c>
      <c r="F78" t="s">
        <v>20</v>
      </c>
      <c r="G78">
        <v>0</v>
      </c>
      <c r="H78">
        <v>260</v>
      </c>
      <c r="I78">
        <f>=MAX(30,ROUND(($F78*$G78+$H78)/5,0)*5)</f>
        <v>260</v>
      </c>
      <c r="J78">
        <v>999</v>
      </c>
      <c r="K78">
        <v>999</v>
      </c>
      <c r="L78">
        <v>220</v>
      </c>
    </row>
    <row r="79" spans="1:12" x14ac:dyDescent="0.25">
      <c r="A79" t="s">
        <v>291</v>
      </c>
      <c r="B79" t="s">
        <v>35</v>
      </c>
      <c r="C79" t="s">
        <v>136</v>
      </c>
      <c r="D79" t="s">
        <v>292</v>
      </c>
      <c r="E79" t="s">
        <v>293</v>
      </c>
      <c r="F79" t="s">
        <v>20</v>
      </c>
      <c r="G79">
        <v>0</v>
      </c>
      <c r="H79">
        <v>150</v>
      </c>
      <c r="I79">
        <f>=MAX(30,ROUND(($F79*$G79+$H79)/5,0)*5)</f>
        <v>150</v>
      </c>
      <c r="J79">
        <v>899</v>
      </c>
      <c r="K79">
        <v>989</v>
      </c>
      <c r="L79">
        <v>218</v>
      </c>
    </row>
    <row r="80" spans="1:12" x14ac:dyDescent="0.25">
      <c r="A80" t="s">
        <v>294</v>
      </c>
      <c r="B80" t="s">
        <v>13</v>
      </c>
      <c r="C80" t="s">
        <v>295</v>
      </c>
      <c r="D80" t="s">
        <v>296</v>
      </c>
      <c r="E80" t="s">
        <v>297</v>
      </c>
      <c r="F80">
        <v>30</v>
      </c>
      <c r="G80">
        <v>22</v>
      </c>
      <c r="H80">
        <v>20</v>
      </c>
      <c r="I80">
        <f>=MAX(30,ROUND(($F80*$G80+$H80)/5,0)*5)</f>
        <v>680</v>
      </c>
      <c r="J80">
        <v>499</v>
      </c>
      <c r="K80">
        <v>549</v>
      </c>
      <c r="L80">
        <v>121</v>
      </c>
    </row>
    <row r="81" spans="1:12" x14ac:dyDescent="0.25">
      <c r="A81" t="s">
        <v>298</v>
      </c>
      <c r="B81" t="s">
        <v>35</v>
      </c>
      <c r="C81" t="s">
        <v>299</v>
      </c>
      <c r="D81" t="s">
        <v>300</v>
      </c>
      <c r="E81" t="s">
        <v>301</v>
      </c>
      <c r="F81" t="s">
        <v>20</v>
      </c>
      <c r="G81">
        <v>0</v>
      </c>
      <c r="H81">
        <v>150</v>
      </c>
      <c r="I81">
        <f>=MAX(30,ROUND(($F81*$G81+$H81)/5,0)*5)</f>
        <v>150</v>
      </c>
      <c r="J81">
        <v>699</v>
      </c>
      <c r="K81">
        <v>699</v>
      </c>
      <c r="L81">
        <v>154</v>
      </c>
    </row>
    <row r="82" spans="1:12" x14ac:dyDescent="0.25">
      <c r="A82" t="s">
        <v>302</v>
      </c>
      <c r="B82" t="s">
        <v>26</v>
      </c>
      <c r="C82" t="s">
        <v>303</v>
      </c>
      <c r="D82" t="s">
        <v>304</v>
      </c>
      <c r="E82" t="s">
        <v>305</v>
      </c>
      <c r="F82">
        <v>6</v>
      </c>
      <c r="G82">
        <v>0</v>
      </c>
      <c r="H82">
        <v>200</v>
      </c>
      <c r="I82">
        <f>=MAX(30,ROUND(($F82*$G82+$H82)/5,0)*5)</f>
        <v>200</v>
      </c>
      <c r="J82">
        <v>29</v>
      </c>
      <c r="K82">
        <v>29</v>
      </c>
      <c r="L82">
        <v>6</v>
      </c>
    </row>
    <row r="83" spans="1:12" x14ac:dyDescent="0.25">
      <c r="A83" t="s">
        <v>306</v>
      </c>
      <c r="B83" t="s">
        <v>35</v>
      </c>
      <c r="C83" t="s">
        <v>168</v>
      </c>
      <c r="D83" t="s">
        <v>307</v>
      </c>
      <c r="E83" t="s">
        <v>308</v>
      </c>
      <c r="F83" t="s">
        <v>20</v>
      </c>
      <c r="G83">
        <v>0</v>
      </c>
      <c r="H83">
        <v>150</v>
      </c>
      <c r="I83">
        <f>=MAX(30,ROUND(($F83*$G83+$H83)/5,0)*5)</f>
        <v>150</v>
      </c>
      <c r="J83">
        <v>1980</v>
      </c>
      <c r="K83">
        <v>2178</v>
      </c>
      <c r="L83">
        <v>479</v>
      </c>
    </row>
    <row r="84" spans="1:12" x14ac:dyDescent="0.25">
      <c r="A84" t="s">
        <v>309</v>
      </c>
      <c r="B84" t="s">
        <v>35</v>
      </c>
      <c r="C84" t="s">
        <v>168</v>
      </c>
      <c r="D84" t="s">
        <v>310</v>
      </c>
      <c r="E84" t="s">
        <v>311</v>
      </c>
      <c r="F84" t="s">
        <v>20</v>
      </c>
      <c r="G84">
        <v>0</v>
      </c>
      <c r="H84">
        <v>150</v>
      </c>
      <c r="I84">
        <f>=MAX(30,ROUND(($F84*$G84+$H84)/5,0)*5)</f>
        <v>150</v>
      </c>
      <c r="J84">
        <v>999</v>
      </c>
      <c r="K84">
        <v>1099</v>
      </c>
      <c r="L84">
        <v>242</v>
      </c>
    </row>
    <row r="85" spans="1:12" x14ac:dyDescent="0.25">
      <c r="A85" t="s">
        <v>312</v>
      </c>
      <c r="B85" t="s">
        <v>13</v>
      </c>
      <c r="C85" t="s">
        <v>93</v>
      </c>
      <c r="D85" t="s">
        <v>313</v>
      </c>
      <c r="E85" t="s">
        <v>314</v>
      </c>
      <c r="F85" t="s">
        <v>20</v>
      </c>
      <c r="G85">
        <v>22</v>
      </c>
      <c r="H85">
        <v>20</v>
      </c>
      <c r="I85">
        <f>=MAX(30,ROUND(($F85*$G85+$H85)/5,0)*5)</f>
        <v>30</v>
      </c>
    </row>
    <row r="86" spans="1:12" x14ac:dyDescent="0.25">
      <c r="A86" t="s">
        <v>315</v>
      </c>
      <c r="B86" t="s">
        <v>13</v>
      </c>
      <c r="C86" t="s">
        <v>185</v>
      </c>
      <c r="D86" t="s">
        <v>316</v>
      </c>
      <c r="E86" t="s">
        <v>317</v>
      </c>
      <c r="F86">
        <v>1</v>
      </c>
      <c r="G86">
        <v>22</v>
      </c>
      <c r="H86">
        <v>20</v>
      </c>
      <c r="I86">
        <f>=MAX(30,ROUND(($F86*$G86+$H86)/5,0)*5)</f>
        <v>40</v>
      </c>
      <c r="J86">
        <v>99</v>
      </c>
      <c r="K86">
        <v>99</v>
      </c>
      <c r="L86">
        <v>22</v>
      </c>
    </row>
    <row r="87" spans="1:12" x14ac:dyDescent="0.25">
      <c r="A87" t="s">
        <v>318</v>
      </c>
      <c r="B87" t="s">
        <v>13</v>
      </c>
      <c r="C87" t="s">
        <v>319</v>
      </c>
      <c r="D87" t="s">
        <v>320</v>
      </c>
      <c r="E87" t="s">
        <v>321</v>
      </c>
      <c r="F87">
        <v>10</v>
      </c>
      <c r="G87">
        <v>22</v>
      </c>
      <c r="H87">
        <v>20</v>
      </c>
      <c r="I87">
        <f>=MAX(30,ROUND(($F87*$G87+$H87)/5,0)*5)</f>
        <v>240</v>
      </c>
      <c r="J87">
        <v>499</v>
      </c>
      <c r="K87">
        <v>499</v>
      </c>
      <c r="L87">
        <v>110</v>
      </c>
    </row>
    <row r="88" spans="1:12" x14ac:dyDescent="0.25">
      <c r="A88" t="s">
        <v>322</v>
      </c>
      <c r="B88" t="s">
        <v>13</v>
      </c>
      <c r="C88" t="s">
        <v>97</v>
      </c>
      <c r="D88" t="s">
        <v>323</v>
      </c>
      <c r="E88" t="s">
        <v>99</v>
      </c>
      <c r="F88" t="s">
        <v>20</v>
      </c>
      <c r="G88">
        <v>22</v>
      </c>
      <c r="H88">
        <v>20</v>
      </c>
      <c r="I88">
        <f>=MAX(30,ROUND(($F88*$G88+$H88)/5,0)*5)</f>
        <v>30</v>
      </c>
      <c r="J88">
        <v>899</v>
      </c>
      <c r="K88">
        <v>989</v>
      </c>
      <c r="L88">
        <v>218</v>
      </c>
    </row>
    <row r="89" spans="1:12" x14ac:dyDescent="0.25">
      <c r="A89" t="s">
        <v>324</v>
      </c>
      <c r="B89" t="s">
        <v>26</v>
      </c>
      <c r="C89" t="s">
        <v>136</v>
      </c>
      <c r="D89" t="s">
        <v>325</v>
      </c>
      <c r="E89" t="s">
        <v>326</v>
      </c>
      <c r="F89" t="s">
        <v>20</v>
      </c>
      <c r="G89">
        <v>0</v>
      </c>
      <c r="H89">
        <v>200</v>
      </c>
      <c r="I89">
        <f>=MAX(30,ROUND(($F89*$G89+$H89)/5,0)*5)</f>
        <v>200</v>
      </c>
      <c r="J89">
        <v>699</v>
      </c>
      <c r="K89">
        <v>699</v>
      </c>
      <c r="L89">
        <v>154</v>
      </c>
    </row>
    <row r="90" spans="1:12" x14ac:dyDescent="0.25">
      <c r="A90" t="s">
        <v>327</v>
      </c>
      <c r="B90" t="s">
        <v>105</v>
      </c>
      <c r="C90" t="s">
        <v>328</v>
      </c>
      <c r="D90" t="s">
        <v>329</v>
      </c>
      <c r="E90" t="s">
        <v>330</v>
      </c>
      <c r="F90" t="s">
        <v>20</v>
      </c>
      <c r="G90">
        <v>8</v>
      </c>
      <c r="H90">
        <v>18</v>
      </c>
      <c r="I90">
        <f>=MAX(30,ROUND(($F90*$G90+$H90)/5,0)*5)</f>
        <v>30</v>
      </c>
      <c r="J90">
        <v>899</v>
      </c>
      <c r="K90">
        <v>989</v>
      </c>
      <c r="L90">
        <v>218</v>
      </c>
    </row>
    <row r="91" spans="1:12" x14ac:dyDescent="0.25">
      <c r="A91" t="s">
        <v>331</v>
      </c>
      <c r="B91" t="s">
        <v>26</v>
      </c>
      <c r="C91" t="s">
        <v>97</v>
      </c>
      <c r="D91" t="s">
        <v>332</v>
      </c>
      <c r="E91" t="s">
        <v>333</v>
      </c>
      <c r="F91" t="s">
        <v>20</v>
      </c>
      <c r="G91">
        <v>0</v>
      </c>
      <c r="H91">
        <v>200</v>
      </c>
      <c r="I91">
        <f>=MAX(30,ROUND(($F91*$G91+$H91)/5,0)*5)</f>
        <v>200</v>
      </c>
      <c r="J91">
        <v>699</v>
      </c>
      <c r="K91">
        <v>699</v>
      </c>
      <c r="L91">
        <v>154</v>
      </c>
    </row>
    <row r="92" spans="1:12" x14ac:dyDescent="0.25">
      <c r="A92" t="s">
        <v>334</v>
      </c>
      <c r="B92" t="s">
        <v>35</v>
      </c>
      <c r="C92" t="s">
        <v>168</v>
      </c>
      <c r="D92" t="s">
        <v>335</v>
      </c>
      <c r="E92" t="s">
        <v>336</v>
      </c>
      <c r="F92" t="s">
        <v>20</v>
      </c>
      <c r="G92">
        <v>0</v>
      </c>
      <c r="H92">
        <v>150</v>
      </c>
      <c r="I92">
        <f>=MAX(30,ROUND(($F92*$G92+$H92)/5,0)*5)</f>
        <v>150</v>
      </c>
      <c r="J92">
        <v>999</v>
      </c>
      <c r="K92">
        <v>1099</v>
      </c>
      <c r="L92">
        <v>242</v>
      </c>
    </row>
    <row r="93" spans="1:12" x14ac:dyDescent="0.25">
      <c r="A93" t="s">
        <v>337</v>
      </c>
      <c r="B93" t="s">
        <v>35</v>
      </c>
      <c r="C93" t="s">
        <v>222</v>
      </c>
      <c r="D93" t="s">
        <v>338</v>
      </c>
      <c r="E93" t="s">
        <v>339</v>
      </c>
      <c r="F93" t="s">
        <v>20</v>
      </c>
      <c r="G93">
        <v>0</v>
      </c>
      <c r="H93">
        <v>150</v>
      </c>
      <c r="I93">
        <f>=MAX(30,ROUND(($F93*$G93+$H93)/5,0)*5)</f>
        <v>150</v>
      </c>
      <c r="J93">
        <v>699</v>
      </c>
      <c r="K93">
        <v>699</v>
      </c>
      <c r="L93">
        <v>154</v>
      </c>
    </row>
    <row r="94" spans="1:12" x14ac:dyDescent="0.25">
      <c r="A94" t="s">
        <v>340</v>
      </c>
      <c r="B94" t="s">
        <v>26</v>
      </c>
      <c r="C94" t="s">
        <v>341</v>
      </c>
      <c r="D94" t="s">
        <v>342</v>
      </c>
      <c r="E94" t="s">
        <v>343</v>
      </c>
      <c r="F94" t="s">
        <v>20</v>
      </c>
      <c r="G94">
        <v>0</v>
      </c>
      <c r="H94">
        <v>200</v>
      </c>
      <c r="I94">
        <f>=MAX(30,ROUND(($F94*$G94+$H94)/5,0)*5)</f>
        <v>200</v>
      </c>
      <c r="J94">
        <v>999</v>
      </c>
      <c r="K94">
        <v>1099</v>
      </c>
      <c r="L94">
        <v>242</v>
      </c>
    </row>
    <row r="95" spans="1:12" x14ac:dyDescent="0.25">
      <c r="A95" t="s">
        <v>344</v>
      </c>
      <c r="B95" t="s">
        <v>26</v>
      </c>
      <c r="C95" t="s">
        <v>136</v>
      </c>
      <c r="D95" t="s">
        <v>345</v>
      </c>
      <c r="E95" t="s">
        <v>346</v>
      </c>
      <c r="F95" t="s">
        <v>20</v>
      </c>
      <c r="G95">
        <v>0</v>
      </c>
      <c r="H95">
        <v>200</v>
      </c>
      <c r="I95">
        <f>=MAX(30,ROUND(($F95*$G95+$H95)/5,0)*5)</f>
        <v>200</v>
      </c>
      <c r="J95">
        <v>699</v>
      </c>
      <c r="K95">
        <v>699</v>
      </c>
      <c r="L95">
        <v>154</v>
      </c>
    </row>
    <row r="96" spans="1:12" x14ac:dyDescent="0.25">
      <c r="A96" t="s">
        <v>347</v>
      </c>
      <c r="B96" t="s">
        <v>105</v>
      </c>
      <c r="C96" t="s">
        <v>348</v>
      </c>
      <c r="D96" t="s">
        <v>349</v>
      </c>
      <c r="E96" t="s">
        <v>350</v>
      </c>
      <c r="F96" t="s">
        <v>20</v>
      </c>
      <c r="G96">
        <v>8</v>
      </c>
      <c r="H96">
        <v>18</v>
      </c>
      <c r="I96">
        <f>=MAX(30,ROUND(($F96*$G96+$H96)/5,0)*5)</f>
        <v>30</v>
      </c>
      <c r="J96">
        <v>499</v>
      </c>
      <c r="K96">
        <v>549</v>
      </c>
      <c r="L96">
        <v>121</v>
      </c>
    </row>
    <row r="97" spans="1:12" x14ac:dyDescent="0.25">
      <c r="A97" t="s">
        <v>351</v>
      </c>
      <c r="B97" t="s">
        <v>26</v>
      </c>
      <c r="C97" t="s">
        <v>352</v>
      </c>
      <c r="D97" t="s">
        <v>353</v>
      </c>
      <c r="E97" t="s">
        <v>354</v>
      </c>
      <c r="F97" t="s">
        <v>20</v>
      </c>
      <c r="G97">
        <v>0</v>
      </c>
      <c r="H97">
        <v>200</v>
      </c>
      <c r="I97">
        <f>=MAX(30,ROUND(($F97*$G97+$H97)/5,0)*5)</f>
        <v>200</v>
      </c>
      <c r="J97">
        <v>999</v>
      </c>
      <c r="K97">
        <v>999</v>
      </c>
      <c r="L97">
        <v>220</v>
      </c>
    </row>
    <row r="98" spans="1:12" x14ac:dyDescent="0.25">
      <c r="A98" t="s">
        <v>355</v>
      </c>
      <c r="B98" t="s">
        <v>13</v>
      </c>
      <c r="C98" t="s">
        <v>205</v>
      </c>
      <c r="D98" t="s">
        <v>356</v>
      </c>
      <c r="E98" t="s">
        <v>357</v>
      </c>
      <c r="F98">
        <v>31</v>
      </c>
      <c r="G98">
        <v>22</v>
      </c>
      <c r="H98">
        <v>20</v>
      </c>
      <c r="I98">
        <f>=MAX(30,ROUND(($F98*$G98+$H98)/5,0)*5)</f>
        <v>700</v>
      </c>
      <c r="J98">
        <v>699</v>
      </c>
      <c r="K98">
        <v>769</v>
      </c>
      <c r="L98">
        <v>169</v>
      </c>
    </row>
    <row r="99" spans="1:12" x14ac:dyDescent="0.25">
      <c r="A99" t="s">
        <v>358</v>
      </c>
      <c r="B99" t="s">
        <v>105</v>
      </c>
      <c r="C99" t="s">
        <v>352</v>
      </c>
      <c r="D99" t="s">
        <v>359</v>
      </c>
      <c r="E99" t="s">
        <v>360</v>
      </c>
      <c r="F99" t="s">
        <v>20</v>
      </c>
      <c r="G99">
        <v>8</v>
      </c>
      <c r="H99">
        <v>18</v>
      </c>
      <c r="I99">
        <f>=MAX(30,ROUND(($F99*$G99+$H99)/5,0)*5)</f>
        <v>30</v>
      </c>
      <c r="J99">
        <v>1099</v>
      </c>
      <c r="K99">
        <v>1099</v>
      </c>
      <c r="L99">
        <v>242</v>
      </c>
    </row>
    <row r="100" spans="1:12" x14ac:dyDescent="0.25">
      <c r="A100" t="s">
        <v>361</v>
      </c>
      <c r="B100" t="s">
        <v>26</v>
      </c>
      <c r="C100" t="s">
        <v>362</v>
      </c>
      <c r="D100" t="s">
        <v>363</v>
      </c>
      <c r="E100" t="s">
        <v>364</v>
      </c>
      <c r="F100" t="s">
        <v>20</v>
      </c>
      <c r="G100">
        <v>0</v>
      </c>
      <c r="H100">
        <v>200</v>
      </c>
      <c r="I100">
        <f>=MAX(30,ROUND(($F100*$G100+$H100)/5,0)*5)</f>
        <v>200</v>
      </c>
      <c r="J100">
        <v>199</v>
      </c>
      <c r="K100">
        <v>199</v>
      </c>
      <c r="L100">
        <v>44</v>
      </c>
    </row>
    <row r="101" spans="1:12" x14ac:dyDescent="0.25">
      <c r="A101" t="s">
        <v>365</v>
      </c>
      <c r="B101" t="s">
        <v>26</v>
      </c>
      <c r="C101" t="s">
        <v>93</v>
      </c>
      <c r="D101" t="s">
        <v>366</v>
      </c>
      <c r="E101" t="s">
        <v>367</v>
      </c>
      <c r="F101" t="s">
        <v>20</v>
      </c>
      <c r="G101">
        <v>0</v>
      </c>
      <c r="H101">
        <v>200</v>
      </c>
      <c r="I101">
        <f>=MAX(30,ROUND(($F101*$G101+$H101)/5,0)*5)</f>
        <v>200</v>
      </c>
      <c r="J101">
        <v>1499</v>
      </c>
      <c r="K101">
        <v>1649</v>
      </c>
      <c r="L101">
        <v>363</v>
      </c>
    </row>
    <row r="102" spans="1:12" x14ac:dyDescent="0.25">
      <c r="A102" t="s">
        <v>368</v>
      </c>
      <c r="B102" t="s">
        <v>26</v>
      </c>
      <c r="C102" t="s">
        <v>369</v>
      </c>
      <c r="D102" t="s">
        <v>370</v>
      </c>
      <c r="E102" t="s">
        <v>371</v>
      </c>
      <c r="F102" t="s">
        <v>20</v>
      </c>
      <c r="G102">
        <v>0</v>
      </c>
      <c r="H102">
        <v>200</v>
      </c>
      <c r="I102">
        <f>=MAX(30,ROUND(($F102*$G102+$H102)/5,0)*5)</f>
        <v>200</v>
      </c>
      <c r="J102">
        <v>119</v>
      </c>
      <c r="K102">
        <v>131</v>
      </c>
      <c r="L102">
        <v>29</v>
      </c>
    </row>
    <row r="103" spans="1:12" x14ac:dyDescent="0.25">
      <c r="A103" t="s">
        <v>372</v>
      </c>
      <c r="B103" t="s">
        <v>26</v>
      </c>
      <c r="C103" t="s">
        <v>373</v>
      </c>
      <c r="D103" t="s">
        <v>374</v>
      </c>
      <c r="E103" t="s">
        <v>375</v>
      </c>
      <c r="F103" t="s">
        <v>20</v>
      </c>
      <c r="G103">
        <v>0</v>
      </c>
      <c r="H103">
        <v>200</v>
      </c>
      <c r="I103">
        <f>=MAX(30,ROUND(($F103*$G103+$H103)/5,0)*5)</f>
        <v>200</v>
      </c>
      <c r="J103">
        <v>289</v>
      </c>
      <c r="K103">
        <v>318</v>
      </c>
      <c r="L103">
        <v>70</v>
      </c>
    </row>
    <row r="104" spans="1:12" x14ac:dyDescent="0.25">
      <c r="A104" t="s">
        <v>376</v>
      </c>
      <c r="B104" t="s">
        <v>26</v>
      </c>
      <c r="C104" t="s">
        <v>377</v>
      </c>
      <c r="D104" t="s">
        <v>378</v>
      </c>
      <c r="E104" t="s">
        <v>379</v>
      </c>
      <c r="F104" t="s">
        <v>20</v>
      </c>
      <c r="G104">
        <v>0</v>
      </c>
      <c r="H104">
        <v>200</v>
      </c>
      <c r="I104">
        <f>=MAX(30,ROUND(($F104*$G104+$H104)/5,0)*5)</f>
        <v>200</v>
      </c>
      <c r="J104">
        <v>699</v>
      </c>
      <c r="K104">
        <v>769</v>
      </c>
      <c r="L104">
        <v>169</v>
      </c>
    </row>
    <row r="105" spans="1:12" x14ac:dyDescent="0.25">
      <c r="A105" t="s">
        <v>380</v>
      </c>
      <c r="B105" t="s">
        <v>26</v>
      </c>
      <c r="C105" t="s">
        <v>381</v>
      </c>
      <c r="D105" t="s">
        <v>382</v>
      </c>
      <c r="E105" t="s">
        <v>383</v>
      </c>
      <c r="F105" t="s">
        <v>20</v>
      </c>
      <c r="G105">
        <v>0</v>
      </c>
      <c r="H105">
        <v>200</v>
      </c>
      <c r="I105">
        <f>=MAX(30,ROUND(($F105*$G105+$H105)/5,0)*5)</f>
        <v>200</v>
      </c>
      <c r="J105">
        <v>599</v>
      </c>
      <c r="K105">
        <v>599</v>
      </c>
      <c r="L105">
        <v>132</v>
      </c>
    </row>
    <row r="106" spans="1:12" x14ac:dyDescent="0.25">
      <c r="A106" t="s">
        <v>384</v>
      </c>
      <c r="B106" t="s">
        <v>13</v>
      </c>
      <c r="C106" t="s">
        <v>205</v>
      </c>
      <c r="D106" t="s">
        <v>385</v>
      </c>
      <c r="E106" t="s">
        <v>386</v>
      </c>
      <c r="F106">
        <v>31</v>
      </c>
      <c r="G106">
        <v>22</v>
      </c>
      <c r="H106">
        <v>20</v>
      </c>
      <c r="I106">
        <f>=MAX(30,ROUND(($F106*$G106+$H106)/5,0)*5)</f>
        <v>700</v>
      </c>
      <c r="J106">
        <v>699</v>
      </c>
      <c r="K106">
        <v>769</v>
      </c>
      <c r="L106">
        <v>169</v>
      </c>
    </row>
    <row r="107" spans="1:12" x14ac:dyDescent="0.25">
      <c r="A107" t="s">
        <v>387</v>
      </c>
      <c r="B107" t="s">
        <v>26</v>
      </c>
      <c r="C107" t="s">
        <v>222</v>
      </c>
      <c r="D107" t="s">
        <v>388</v>
      </c>
      <c r="E107" t="s">
        <v>389</v>
      </c>
      <c r="F107" t="s">
        <v>20</v>
      </c>
      <c r="G107">
        <v>0</v>
      </c>
      <c r="H107">
        <v>200</v>
      </c>
      <c r="I107">
        <f>=MAX(30,ROUND(($F107*$G107+$H107)/5,0)*5)</f>
        <v>200</v>
      </c>
      <c r="J107">
        <v>299</v>
      </c>
      <c r="K107">
        <v>329</v>
      </c>
      <c r="L107">
        <v>72</v>
      </c>
    </row>
    <row r="108" spans="1:12" x14ac:dyDescent="0.25">
      <c r="A108" t="s">
        <v>390</v>
      </c>
      <c r="B108" t="s">
        <v>35</v>
      </c>
      <c r="C108" t="s">
        <v>266</v>
      </c>
      <c r="D108" t="s">
        <v>391</v>
      </c>
      <c r="E108" t="s">
        <v>392</v>
      </c>
      <c r="F108" t="s">
        <v>20</v>
      </c>
      <c r="G108">
        <v>0</v>
      </c>
      <c r="H108">
        <v>150</v>
      </c>
      <c r="I108">
        <f>=MAX(30,ROUND(($F108*$G108+$H108)/5,0)*5)</f>
        <v>150</v>
      </c>
      <c r="J108">
        <v>999</v>
      </c>
      <c r="K108">
        <v>1099</v>
      </c>
      <c r="L108">
        <v>242</v>
      </c>
    </row>
    <row r="109" spans="1:12" x14ac:dyDescent="0.25">
      <c r="A109" t="s">
        <v>393</v>
      </c>
      <c r="B109" t="s">
        <v>26</v>
      </c>
      <c r="C109" t="s">
        <v>394</v>
      </c>
      <c r="D109" t="s">
        <v>395</v>
      </c>
      <c r="E109" t="s">
        <v>396</v>
      </c>
      <c r="F109" t="s">
        <v>20</v>
      </c>
      <c r="G109">
        <v>0</v>
      </c>
      <c r="H109">
        <v>200</v>
      </c>
      <c r="I109">
        <f>=MAX(30,ROUND(($F109*$G109+$H109)/5,0)*5)</f>
        <v>200</v>
      </c>
      <c r="J109">
        <v>449</v>
      </c>
      <c r="K109">
        <v>449</v>
      </c>
      <c r="L109">
        <v>99</v>
      </c>
    </row>
    <row r="110" spans="1:12" x14ac:dyDescent="0.25">
      <c r="A110" t="s">
        <v>397</v>
      </c>
      <c r="B110" t="s">
        <v>26</v>
      </c>
      <c r="C110" t="s">
        <v>398</v>
      </c>
      <c r="D110" t="s">
        <v>399</v>
      </c>
      <c r="E110" t="s">
        <v>400</v>
      </c>
      <c r="F110">
        <v>43</v>
      </c>
      <c r="G110">
        <v>0</v>
      </c>
      <c r="H110">
        <v>200</v>
      </c>
      <c r="I110">
        <f>=MAX(30,ROUND(($F110*$G110+$H110)/5,0)*5)</f>
        <v>965</v>
      </c>
      <c r="J110">
        <v>2090</v>
      </c>
      <c r="K110">
        <v>2090</v>
      </c>
      <c r="L110">
        <v>460</v>
      </c>
    </row>
    <row r="111" spans="1:12" x14ac:dyDescent="0.25">
      <c r="A111" t="s">
        <v>401</v>
      </c>
      <c r="B111" t="s">
        <v>35</v>
      </c>
      <c r="C111" t="s">
        <v>341</v>
      </c>
      <c r="D111" t="s">
        <v>402</v>
      </c>
      <c r="E111" t="s">
        <v>403</v>
      </c>
      <c r="F111" t="s">
        <v>20</v>
      </c>
      <c r="G111">
        <v>0</v>
      </c>
      <c r="H111">
        <v>150</v>
      </c>
      <c r="I111">
        <f>=MAX(30,ROUND(($F111*$G111+$H111)/5,0)*5)</f>
        <v>150</v>
      </c>
      <c r="J111">
        <v>999</v>
      </c>
      <c r="K111">
        <v>1099</v>
      </c>
      <c r="L111">
        <v>242</v>
      </c>
    </row>
    <row r="112" spans="1:12" x14ac:dyDescent="0.25">
      <c r="A112" t="s">
        <v>404</v>
      </c>
      <c r="B112" t="s">
        <v>405</v>
      </c>
      <c r="C112" t="s">
        <v>144</v>
      </c>
      <c r="D112" t="s">
        <v>406</v>
      </c>
      <c r="E112" t="s">
        <v>406</v>
      </c>
      <c r="F112" t="s">
        <v>20</v>
      </c>
      <c r="G112">
        <v>0</v>
      </c>
      <c r="H112">
        <v>230</v>
      </c>
      <c r="I112">
        <f>=MAX(30,ROUND(($F112*$G112+$H112)/5,0)*5)</f>
        <v>230</v>
      </c>
      <c r="J112">
        <v>499</v>
      </c>
      <c r="K112">
        <v>499</v>
      </c>
      <c r="L112">
        <v>110</v>
      </c>
    </row>
    <row r="113" spans="1:12" x14ac:dyDescent="0.25">
      <c r="A113" t="s">
        <v>407</v>
      </c>
      <c r="B113" t="s">
        <v>26</v>
      </c>
      <c r="C113" t="s">
        <v>144</v>
      </c>
      <c r="D113" t="s">
        <v>408</v>
      </c>
      <c r="E113" t="s">
        <v>409</v>
      </c>
      <c r="F113" t="s">
        <v>20</v>
      </c>
      <c r="G113">
        <v>0</v>
      </c>
      <c r="H113">
        <v>200</v>
      </c>
      <c r="I113">
        <f>=MAX(30,ROUND(($F113*$G113+$H113)/5,0)*5)</f>
        <v>200</v>
      </c>
      <c r="J113">
        <v>599</v>
      </c>
      <c r="K113">
        <v>599</v>
      </c>
      <c r="L113">
        <v>132</v>
      </c>
    </row>
    <row r="114" spans="1:12" x14ac:dyDescent="0.25">
      <c r="A114" t="s">
        <v>410</v>
      </c>
      <c r="B114" t="s">
        <v>55</v>
      </c>
      <c r="C114" t="s">
        <v>411</v>
      </c>
      <c r="D114" t="s">
        <v>412</v>
      </c>
      <c r="E114" t="s">
        <v>413</v>
      </c>
      <c r="F114" t="s">
        <v>20</v>
      </c>
      <c r="G114">
        <v>0</v>
      </c>
      <c r="H114">
        <v>260</v>
      </c>
      <c r="I114">
        <f>=MAX(30,ROUND(($F114*$G114+$H114)/5,0)*5)</f>
        <v>260</v>
      </c>
      <c r="J114">
        <v>999</v>
      </c>
      <c r="K114">
        <v>1099</v>
      </c>
      <c r="L114">
        <v>242</v>
      </c>
    </row>
    <row r="115" spans="1:12" x14ac:dyDescent="0.25">
      <c r="A115" t="s">
        <v>414</v>
      </c>
      <c r="B115" t="s">
        <v>26</v>
      </c>
      <c r="C115" t="s">
        <v>415</v>
      </c>
      <c r="D115" t="s">
        <v>416</v>
      </c>
      <c r="E115" t="s">
        <v>417</v>
      </c>
      <c r="F115">
        <v>4</v>
      </c>
      <c r="G115">
        <v>0</v>
      </c>
      <c r="H115">
        <v>200</v>
      </c>
      <c r="I115">
        <f>=MAX(30,ROUND(($F115*$G115+$H115)/5,0)*5)</f>
        <v>200</v>
      </c>
      <c r="J115">
        <v>2052</v>
      </c>
      <c r="K115">
        <v>2052</v>
      </c>
      <c r="L115">
        <v>451</v>
      </c>
    </row>
    <row r="116" spans="1:12" x14ac:dyDescent="0.25">
      <c r="A116" t="s">
        <v>418</v>
      </c>
      <c r="B116" t="s">
        <v>13</v>
      </c>
      <c r="C116" t="s">
        <v>419</v>
      </c>
      <c r="D116" t="s">
        <v>420</v>
      </c>
      <c r="E116" t="s">
        <v>421</v>
      </c>
      <c r="F116">
        <v>10</v>
      </c>
      <c r="G116">
        <v>22</v>
      </c>
      <c r="H116">
        <v>20</v>
      </c>
      <c r="I116">
        <f>=MAX(30,ROUND(($F116*$G116+$H116)/5,0)*5)</f>
        <v>240</v>
      </c>
      <c r="J116">
        <v>499</v>
      </c>
      <c r="K116">
        <v>499</v>
      </c>
      <c r="L116">
        <v>110</v>
      </c>
    </row>
    <row r="117" spans="1:12" x14ac:dyDescent="0.25">
      <c r="A117" t="s">
        <v>422</v>
      </c>
      <c r="B117" t="s">
        <v>13</v>
      </c>
      <c r="C117" t="s">
        <v>93</v>
      </c>
      <c r="D117" t="s">
        <v>423</v>
      </c>
      <c r="E117" t="s">
        <v>424</v>
      </c>
      <c r="F117">
        <v>1</v>
      </c>
      <c r="G117">
        <v>22</v>
      </c>
      <c r="H117">
        <v>20</v>
      </c>
      <c r="I117">
        <f>=MAX(30,ROUND(($F117*$G117+$H117)/5,0)*5)</f>
        <v>40</v>
      </c>
    </row>
    <row r="118" spans="1:12" x14ac:dyDescent="0.25">
      <c r="A118" t="s">
        <v>425</v>
      </c>
      <c r="B118" t="s">
        <v>13</v>
      </c>
      <c r="C118" t="s">
        <v>426</v>
      </c>
      <c r="D118" t="s">
        <v>427</v>
      </c>
      <c r="E118" t="s">
        <v>428</v>
      </c>
      <c r="F118">
        <v>30</v>
      </c>
      <c r="G118">
        <v>22</v>
      </c>
      <c r="H118">
        <v>20</v>
      </c>
      <c r="I118">
        <f>=MAX(30,ROUND(($F118*$G118+$H118)/5,0)*5)</f>
        <v>680</v>
      </c>
      <c r="J118">
        <v>499</v>
      </c>
      <c r="K118">
        <v>549</v>
      </c>
      <c r="L118">
        <v>121</v>
      </c>
    </row>
    <row r="119" spans="1:12" x14ac:dyDescent="0.25">
      <c r="A119" t="s">
        <v>429</v>
      </c>
      <c r="B119" t="s">
        <v>35</v>
      </c>
      <c r="C119" t="s">
        <v>136</v>
      </c>
      <c r="D119" t="s">
        <v>430</v>
      </c>
      <c r="E119" t="s">
        <v>431</v>
      </c>
      <c r="F119" t="s">
        <v>20</v>
      </c>
      <c r="G119">
        <v>0</v>
      </c>
      <c r="H119">
        <v>150</v>
      </c>
      <c r="I119">
        <f>=MAX(30,ROUND(($F119*$G119+$H119)/5,0)*5)</f>
        <v>150</v>
      </c>
    </row>
    <row r="120" spans="1:12" x14ac:dyDescent="0.25">
      <c r="A120" t="s">
        <v>432</v>
      </c>
      <c r="B120" t="s">
        <v>26</v>
      </c>
      <c r="C120" t="s">
        <v>51</v>
      </c>
      <c r="D120" t="s">
        <v>433</v>
      </c>
      <c r="E120" t="s">
        <v>434</v>
      </c>
      <c r="F120" t="s">
        <v>20</v>
      </c>
      <c r="G120">
        <v>0</v>
      </c>
      <c r="H120">
        <v>200</v>
      </c>
      <c r="I120">
        <f>=MAX(30,ROUND(($F120*$G120+$H120)/5,0)*5)</f>
        <v>200</v>
      </c>
      <c r="J120">
        <v>999</v>
      </c>
      <c r="K120">
        <v>999</v>
      </c>
      <c r="L120">
        <v>220</v>
      </c>
    </row>
    <row r="121" spans="1:12" x14ac:dyDescent="0.25">
      <c r="A121" t="s">
        <v>435</v>
      </c>
      <c r="B121" t="s">
        <v>13</v>
      </c>
      <c r="C121" t="s">
        <v>14</v>
      </c>
      <c r="D121" t="s">
        <v>436</v>
      </c>
      <c r="E121" t="s">
        <v>437</v>
      </c>
      <c r="F121" t="s">
        <v>20</v>
      </c>
      <c r="G121">
        <v>22</v>
      </c>
      <c r="H121">
        <v>20</v>
      </c>
      <c r="I121">
        <f>=MAX(30,ROUND(($F121*$G121+$H121)/5,0)*5)</f>
        <v>30</v>
      </c>
      <c r="J121">
        <v>599</v>
      </c>
      <c r="K121">
        <v>599</v>
      </c>
      <c r="L121">
        <v>132</v>
      </c>
    </row>
    <row r="122" spans="1:12" x14ac:dyDescent="0.25">
      <c r="A122" t="s">
        <v>438</v>
      </c>
      <c r="B122" t="s">
        <v>13</v>
      </c>
      <c r="C122" t="s">
        <v>14</v>
      </c>
      <c r="D122" t="s">
        <v>439</v>
      </c>
      <c r="E122" t="s">
        <v>440</v>
      </c>
      <c r="F122">
        <v>12</v>
      </c>
      <c r="G122">
        <v>22</v>
      </c>
      <c r="H122">
        <v>20</v>
      </c>
      <c r="I122">
        <f>=MAX(30,ROUND(($F122*$G122+$H122)/5,0)*5)</f>
        <v>285</v>
      </c>
      <c r="J122">
        <v>599</v>
      </c>
      <c r="K122">
        <v>599</v>
      </c>
      <c r="L122">
        <v>132</v>
      </c>
    </row>
    <row r="123" spans="1:12" x14ac:dyDescent="0.25">
      <c r="A123" t="s">
        <v>441</v>
      </c>
      <c r="B123" t="s">
        <v>26</v>
      </c>
      <c r="C123" t="s">
        <v>442</v>
      </c>
      <c r="D123" t="s">
        <v>443</v>
      </c>
      <c r="E123" t="s">
        <v>444</v>
      </c>
      <c r="F123" t="s">
        <v>20</v>
      </c>
      <c r="G123">
        <v>0</v>
      </c>
      <c r="H123">
        <v>200</v>
      </c>
      <c r="I123">
        <f>=MAX(30,ROUND(($F123*$G123+$H123)/5,0)*5)</f>
        <v>200</v>
      </c>
      <c r="J123">
        <v>699</v>
      </c>
      <c r="K123">
        <v>699</v>
      </c>
      <c r="L123">
        <v>154</v>
      </c>
    </row>
    <row r="124" spans="1:12" x14ac:dyDescent="0.25">
      <c r="A124" t="s">
        <v>445</v>
      </c>
      <c r="B124" t="s">
        <v>13</v>
      </c>
      <c r="C124" t="s">
        <v>426</v>
      </c>
      <c r="D124" t="s">
        <v>446</v>
      </c>
      <c r="E124" t="s">
        <v>447</v>
      </c>
      <c r="F124" t="s">
        <v>20</v>
      </c>
      <c r="G124">
        <v>22</v>
      </c>
      <c r="H124">
        <v>20</v>
      </c>
      <c r="I124">
        <f>=MAX(30,ROUND(($F124*$G124+$H124)/5,0)*5)</f>
        <v>30</v>
      </c>
      <c r="J124">
        <v>499</v>
      </c>
      <c r="K124">
        <v>549</v>
      </c>
      <c r="L124">
        <v>121</v>
      </c>
    </row>
    <row r="125" spans="1:12" x14ac:dyDescent="0.25">
      <c r="A125" t="s">
        <v>448</v>
      </c>
      <c r="B125" t="s">
        <v>105</v>
      </c>
      <c r="C125" t="s">
        <v>449</v>
      </c>
      <c r="D125" t="s">
        <v>450</v>
      </c>
      <c r="E125" t="s">
        <v>451</v>
      </c>
      <c r="F125">
        <v>60</v>
      </c>
      <c r="G125">
        <v>8</v>
      </c>
      <c r="H125">
        <v>18</v>
      </c>
      <c r="I125">
        <f>=MAX(30,ROUND(($F125*$G125+$H125)/5,0)*5)</f>
        <v>500</v>
      </c>
      <c r="J125">
        <v>799</v>
      </c>
      <c r="K125">
        <v>799</v>
      </c>
      <c r="L125">
        <v>176</v>
      </c>
    </row>
    <row r="126" spans="1:12" x14ac:dyDescent="0.25">
      <c r="A126" t="s">
        <v>452</v>
      </c>
      <c r="B126" t="s">
        <v>55</v>
      </c>
      <c r="C126" t="s">
        <v>56</v>
      </c>
      <c r="D126" t="s">
        <v>453</v>
      </c>
      <c r="E126" t="s">
        <v>454</v>
      </c>
      <c r="F126" t="s">
        <v>20</v>
      </c>
      <c r="G126">
        <v>0</v>
      </c>
      <c r="H126">
        <v>260</v>
      </c>
      <c r="I126">
        <f>=MAX(30,ROUND(($F126*$G126+$H126)/5,0)*5)</f>
        <v>260</v>
      </c>
      <c r="J126">
        <v>1320</v>
      </c>
      <c r="K126">
        <v>1320</v>
      </c>
      <c r="L126">
        <v>290</v>
      </c>
    </row>
    <row r="127" spans="1:12" x14ac:dyDescent="0.25">
      <c r="A127" t="s">
        <v>455</v>
      </c>
      <c r="B127" t="s">
        <v>13</v>
      </c>
      <c r="C127" t="s">
        <v>456</v>
      </c>
      <c r="D127" t="s">
        <v>457</v>
      </c>
      <c r="E127" t="s">
        <v>458</v>
      </c>
      <c r="F127" t="s">
        <v>20</v>
      </c>
      <c r="G127">
        <v>22</v>
      </c>
      <c r="H127">
        <v>20</v>
      </c>
      <c r="I127">
        <f>=MAX(30,ROUND(($F127*$G127+$H127)/5,0)*5)</f>
        <v>30</v>
      </c>
      <c r="J127">
        <v>169</v>
      </c>
      <c r="K127">
        <v>186</v>
      </c>
      <c r="L127">
        <v>41</v>
      </c>
    </row>
    <row r="128" spans="1:12" x14ac:dyDescent="0.25">
      <c r="A128" t="s">
        <v>459</v>
      </c>
      <c r="B128" t="s">
        <v>13</v>
      </c>
      <c r="C128" t="s">
        <v>101</v>
      </c>
      <c r="D128" t="s">
        <v>460</v>
      </c>
      <c r="E128" t="s">
        <v>461</v>
      </c>
      <c r="F128">
        <v>50</v>
      </c>
      <c r="G128">
        <v>22</v>
      </c>
      <c r="H128">
        <v>20</v>
      </c>
      <c r="I128">
        <f>=MAX(30,ROUND(($F128*$G128+$H128)/5,0)*5)</f>
        <v>1120</v>
      </c>
      <c r="J128">
        <v>649</v>
      </c>
      <c r="K128">
        <v>649</v>
      </c>
      <c r="L128">
        <v>143</v>
      </c>
    </row>
    <row r="129" spans="1:12" x14ac:dyDescent="0.25">
      <c r="A129" t="s">
        <v>462</v>
      </c>
      <c r="B129" t="s">
        <v>105</v>
      </c>
      <c r="C129" t="s">
        <v>463</v>
      </c>
      <c r="D129" t="s">
        <v>464</v>
      </c>
      <c r="E129" t="s">
        <v>465</v>
      </c>
      <c r="F129" t="s">
        <v>20</v>
      </c>
      <c r="G129">
        <v>8</v>
      </c>
      <c r="H129">
        <v>18</v>
      </c>
      <c r="I129">
        <f>=MAX(30,ROUND(($F129*$G129+$H129)/5,0)*5)</f>
        <v>30</v>
      </c>
      <c r="J129">
        <v>799</v>
      </c>
      <c r="K129">
        <v>879</v>
      </c>
      <c r="L129">
        <v>193</v>
      </c>
    </row>
    <row r="130" spans="1:12" x14ac:dyDescent="0.25">
      <c r="A130" t="s">
        <v>466</v>
      </c>
      <c r="B130" t="s">
        <v>35</v>
      </c>
      <c r="C130" t="s">
        <v>449</v>
      </c>
      <c r="D130" t="s">
        <v>467</v>
      </c>
      <c r="E130" t="s">
        <v>468</v>
      </c>
      <c r="F130" t="s">
        <v>20</v>
      </c>
      <c r="G130">
        <v>0</v>
      </c>
      <c r="H130">
        <v>150</v>
      </c>
      <c r="I130">
        <f>=MAX(30,ROUND(($F130*$G130+$H130)/5,0)*5)</f>
        <v>150</v>
      </c>
      <c r="J130">
        <v>999</v>
      </c>
      <c r="K130">
        <v>1099</v>
      </c>
      <c r="L130">
        <v>242</v>
      </c>
    </row>
    <row r="131" spans="1:12" x14ac:dyDescent="0.25">
      <c r="A131" t="s">
        <v>469</v>
      </c>
      <c r="B131" t="s">
        <v>13</v>
      </c>
      <c r="C131" t="s">
        <v>93</v>
      </c>
      <c r="D131" t="s">
        <v>470</v>
      </c>
      <c r="E131" t="s">
        <v>471</v>
      </c>
      <c r="F131">
        <v>1</v>
      </c>
      <c r="G131">
        <v>22</v>
      </c>
      <c r="H131">
        <v>20</v>
      </c>
      <c r="I131">
        <f>=MAX(30,ROUND(($F131*$G131+$H131)/5,0)*5)</f>
        <v>40</v>
      </c>
    </row>
    <row r="132" spans="1:12" x14ac:dyDescent="0.25">
      <c r="A132" t="s">
        <v>472</v>
      </c>
      <c r="B132" t="s">
        <v>13</v>
      </c>
      <c r="C132" t="s">
        <v>132</v>
      </c>
      <c r="D132" t="s">
        <v>473</v>
      </c>
      <c r="E132" t="s">
        <v>474</v>
      </c>
      <c r="F132">
        <v>10</v>
      </c>
      <c r="G132">
        <v>22</v>
      </c>
      <c r="H132">
        <v>20</v>
      </c>
      <c r="I132">
        <f>=MAX(30,ROUND(($F132*$G132+$H132)/5,0)*5)</f>
        <v>240</v>
      </c>
      <c r="J132">
        <v>499</v>
      </c>
      <c r="K132">
        <v>499</v>
      </c>
      <c r="L132">
        <v>110</v>
      </c>
    </row>
    <row r="133" spans="1:12" x14ac:dyDescent="0.25">
      <c r="A133" t="s">
        <v>475</v>
      </c>
      <c r="B133" t="s">
        <v>13</v>
      </c>
      <c r="C133" t="s">
        <v>14</v>
      </c>
      <c r="D133" t="s">
        <v>476</v>
      </c>
      <c r="E133" t="s">
        <v>477</v>
      </c>
      <c r="F133" t="s">
        <v>20</v>
      </c>
      <c r="G133">
        <v>22</v>
      </c>
      <c r="H133">
        <v>20</v>
      </c>
      <c r="I133">
        <f>=MAX(30,ROUND(($F133*$G133+$H133)/5,0)*5)</f>
        <v>30</v>
      </c>
    </row>
    <row r="134" spans="1:12" x14ac:dyDescent="0.25">
      <c r="A134" t="s">
        <v>478</v>
      </c>
      <c r="B134" t="s">
        <v>13</v>
      </c>
      <c r="C134" t="s">
        <v>426</v>
      </c>
      <c r="D134" t="s">
        <v>479</v>
      </c>
      <c r="E134" t="s">
        <v>480</v>
      </c>
      <c r="F134">
        <v>50</v>
      </c>
      <c r="G134">
        <v>22</v>
      </c>
      <c r="H134">
        <v>20</v>
      </c>
      <c r="I134">
        <f>=MAX(30,ROUND(($F134*$G134+$H134)/5,0)*5)</f>
        <v>1120</v>
      </c>
      <c r="J134">
        <v>699</v>
      </c>
      <c r="K134">
        <v>769</v>
      </c>
      <c r="L134">
        <v>169</v>
      </c>
    </row>
    <row r="135" spans="1:12" x14ac:dyDescent="0.25">
      <c r="A135" t="s">
        <v>481</v>
      </c>
      <c r="B135" t="s">
        <v>26</v>
      </c>
      <c r="C135" t="s">
        <v>482</v>
      </c>
      <c r="D135" t="s">
        <v>483</v>
      </c>
      <c r="E135" t="s">
        <v>484</v>
      </c>
      <c r="F135" t="s">
        <v>20</v>
      </c>
      <c r="G135">
        <v>0</v>
      </c>
      <c r="H135">
        <v>200</v>
      </c>
      <c r="I135">
        <f>=MAX(30,ROUND(($F135*$G135+$H135)/5,0)*5)</f>
        <v>200</v>
      </c>
      <c r="J135">
        <v>899</v>
      </c>
      <c r="K135">
        <v>989</v>
      </c>
      <c r="L135">
        <v>218</v>
      </c>
    </row>
    <row r="136" spans="1:12" x14ac:dyDescent="0.25">
      <c r="A136" t="s">
        <v>485</v>
      </c>
      <c r="B136" t="s">
        <v>13</v>
      </c>
      <c r="C136" t="s">
        <v>456</v>
      </c>
      <c r="D136" t="s">
        <v>486</v>
      </c>
      <c r="E136" t="s">
        <v>487</v>
      </c>
      <c r="F136" t="s">
        <v>20</v>
      </c>
      <c r="G136">
        <v>22</v>
      </c>
      <c r="H136">
        <v>20</v>
      </c>
      <c r="I136">
        <f>=MAX(30,ROUND(($F136*$G136+$H136)/5,0)*5)</f>
        <v>30</v>
      </c>
      <c r="J136">
        <v>169</v>
      </c>
      <c r="K136">
        <v>186</v>
      </c>
      <c r="L136">
        <v>41</v>
      </c>
    </row>
    <row r="137" spans="1:12" x14ac:dyDescent="0.25">
      <c r="A137" t="s">
        <v>488</v>
      </c>
      <c r="B137" t="s">
        <v>13</v>
      </c>
      <c r="C137" t="s">
        <v>43</v>
      </c>
      <c r="D137" t="s">
        <v>489</v>
      </c>
      <c r="E137" t="s">
        <v>490</v>
      </c>
      <c r="F137">
        <v>30</v>
      </c>
      <c r="G137">
        <v>22</v>
      </c>
      <c r="H137">
        <v>20</v>
      </c>
      <c r="I137">
        <f>=MAX(30,ROUND(($F137*$G137+$H137)/5,0)*5)</f>
        <v>680</v>
      </c>
      <c r="J137">
        <v>499</v>
      </c>
      <c r="K137">
        <v>549</v>
      </c>
      <c r="L137">
        <v>121</v>
      </c>
    </row>
    <row r="138" spans="1:12" x14ac:dyDescent="0.25">
      <c r="A138" t="s">
        <v>491</v>
      </c>
      <c r="B138" t="s">
        <v>13</v>
      </c>
      <c r="C138" t="s">
        <v>101</v>
      </c>
      <c r="D138" t="s">
        <v>492</v>
      </c>
      <c r="E138" t="s">
        <v>493</v>
      </c>
      <c r="F138">
        <v>50</v>
      </c>
      <c r="G138">
        <v>22</v>
      </c>
      <c r="H138">
        <v>20</v>
      </c>
      <c r="I138">
        <f>=MAX(30,ROUND(($F138*$G138+$H138)/5,0)*5)</f>
        <v>1120</v>
      </c>
    </row>
    <row r="139" spans="1:12" x14ac:dyDescent="0.25">
      <c r="A139" t="s">
        <v>494</v>
      </c>
      <c r="B139" t="s">
        <v>13</v>
      </c>
      <c r="C139" t="s">
        <v>14</v>
      </c>
      <c r="D139" t="s">
        <v>495</v>
      </c>
      <c r="E139" t="s">
        <v>496</v>
      </c>
      <c r="F139">
        <v>12</v>
      </c>
      <c r="G139">
        <v>22</v>
      </c>
      <c r="H139">
        <v>20</v>
      </c>
      <c r="I139">
        <f>=MAX(30,ROUND(($F139*$G139+$H139)/5,0)*5)</f>
        <v>285</v>
      </c>
      <c r="J139">
        <v>599</v>
      </c>
      <c r="K139">
        <v>599</v>
      </c>
      <c r="L139">
        <v>132</v>
      </c>
    </row>
    <row r="140" spans="1:12" x14ac:dyDescent="0.25">
      <c r="A140" t="s">
        <v>497</v>
      </c>
      <c r="B140" t="s">
        <v>13</v>
      </c>
      <c r="C140" t="s">
        <v>426</v>
      </c>
      <c r="D140" t="s">
        <v>498</v>
      </c>
      <c r="E140" t="s">
        <v>499</v>
      </c>
      <c r="F140">
        <v>50</v>
      </c>
      <c r="G140">
        <v>22</v>
      </c>
      <c r="H140">
        <v>20</v>
      </c>
      <c r="I140">
        <f>=MAX(30,ROUND(($F140*$G140+$H140)/5,0)*5)</f>
        <v>1120</v>
      </c>
    </row>
    <row r="141" spans="1:12" x14ac:dyDescent="0.25">
      <c r="A141" t="s">
        <v>500</v>
      </c>
      <c r="B141" t="s">
        <v>26</v>
      </c>
      <c r="C141" t="s">
        <v>168</v>
      </c>
      <c r="D141" t="s">
        <v>501</v>
      </c>
      <c r="E141" t="s">
        <v>502</v>
      </c>
      <c r="F141" t="s">
        <v>20</v>
      </c>
      <c r="G141">
        <v>0</v>
      </c>
      <c r="H141">
        <v>200</v>
      </c>
      <c r="I141">
        <f>=MAX(30,ROUND(($F141*$G141+$H141)/5,0)*5)</f>
        <v>200</v>
      </c>
      <c r="J141">
        <v>1499</v>
      </c>
      <c r="K141">
        <v>1499</v>
      </c>
      <c r="L141">
        <v>330</v>
      </c>
    </row>
    <row r="142" spans="1:12" x14ac:dyDescent="0.25">
      <c r="A142" t="s">
        <v>503</v>
      </c>
      <c r="B142" t="s">
        <v>26</v>
      </c>
      <c r="C142" t="s">
        <v>168</v>
      </c>
      <c r="D142" t="s">
        <v>504</v>
      </c>
      <c r="E142" t="s">
        <v>505</v>
      </c>
      <c r="F142" t="s">
        <v>20</v>
      </c>
      <c r="G142">
        <v>0</v>
      </c>
      <c r="H142">
        <v>200</v>
      </c>
      <c r="I142">
        <f>=MAX(30,ROUND(($F142*$G142+$H142)/5,0)*5)</f>
        <v>200</v>
      </c>
      <c r="J142">
        <v>1899</v>
      </c>
      <c r="K142">
        <v>1899</v>
      </c>
      <c r="L142">
        <v>418</v>
      </c>
    </row>
    <row r="143" spans="1:12" x14ac:dyDescent="0.25">
      <c r="A143" t="s">
        <v>506</v>
      </c>
      <c r="B143" t="s">
        <v>13</v>
      </c>
      <c r="C143" t="s">
        <v>93</v>
      </c>
      <c r="D143" t="s">
        <v>507</v>
      </c>
      <c r="E143" t="s">
        <v>508</v>
      </c>
      <c r="F143" t="s">
        <v>20</v>
      </c>
      <c r="G143">
        <v>22</v>
      </c>
      <c r="H143">
        <v>20</v>
      </c>
      <c r="I143">
        <f>=MAX(30,ROUND(($F143*$G143+$H143)/5,0)*5)</f>
        <v>30</v>
      </c>
    </row>
    <row r="144" spans="1:12" x14ac:dyDescent="0.25">
      <c r="A144" t="s">
        <v>509</v>
      </c>
      <c r="B144" t="s">
        <v>55</v>
      </c>
      <c r="C144" t="s">
        <v>510</v>
      </c>
      <c r="D144" t="s">
        <v>511</v>
      </c>
      <c r="E144" t="s">
        <v>512</v>
      </c>
      <c r="F144" t="s">
        <v>20</v>
      </c>
      <c r="G144">
        <v>0</v>
      </c>
      <c r="H144">
        <v>260</v>
      </c>
      <c r="I144">
        <f>=MAX(30,ROUND(($F144*$G144+$H144)/5,0)*5)</f>
        <v>260</v>
      </c>
      <c r="J144">
        <v>899</v>
      </c>
      <c r="K144">
        <v>989</v>
      </c>
      <c r="L144">
        <v>218</v>
      </c>
    </row>
    <row r="145" spans="1:12" x14ac:dyDescent="0.25">
      <c r="A145" t="s">
        <v>513</v>
      </c>
      <c r="B145" t="s">
        <v>13</v>
      </c>
      <c r="C145" t="s">
        <v>101</v>
      </c>
      <c r="D145" t="s">
        <v>514</v>
      </c>
      <c r="E145" t="s">
        <v>515</v>
      </c>
      <c r="F145">
        <v>50</v>
      </c>
      <c r="G145">
        <v>22</v>
      </c>
      <c r="H145">
        <v>20</v>
      </c>
      <c r="I145">
        <f>=MAX(30,ROUND(($F145*$G145+$H145)/5,0)*5)</f>
        <v>1120</v>
      </c>
      <c r="J145">
        <v>599</v>
      </c>
      <c r="K145">
        <v>599</v>
      </c>
      <c r="L145">
        <v>132</v>
      </c>
    </row>
    <row r="146" spans="1:12" x14ac:dyDescent="0.25">
      <c r="A146" t="s">
        <v>516</v>
      </c>
      <c r="B146" t="s">
        <v>13</v>
      </c>
      <c r="C146" t="s">
        <v>22</v>
      </c>
      <c r="D146" t="s">
        <v>517</v>
      </c>
      <c r="E146" t="s">
        <v>518</v>
      </c>
      <c r="F146">
        <v>7</v>
      </c>
      <c r="G146">
        <v>22</v>
      </c>
      <c r="H146">
        <v>20</v>
      </c>
      <c r="I146">
        <f>=MAX(30,ROUND(($F146*$G146+$H146)/5,0)*5)</f>
        <v>175</v>
      </c>
    </row>
    <row r="147" spans="1:12" x14ac:dyDescent="0.25">
      <c r="A147" t="s">
        <v>519</v>
      </c>
      <c r="B147" t="s">
        <v>13</v>
      </c>
      <c r="C147" t="s">
        <v>47</v>
      </c>
      <c r="D147" t="s">
        <v>520</v>
      </c>
      <c r="E147" t="s">
        <v>521</v>
      </c>
      <c r="F147">
        <v>30</v>
      </c>
      <c r="G147">
        <v>22</v>
      </c>
      <c r="H147">
        <v>20</v>
      </c>
      <c r="I147">
        <f>=MAX(30,ROUND(($F147*$G147+$H147)/5,0)*5)</f>
        <v>680</v>
      </c>
      <c r="J147">
        <v>499</v>
      </c>
      <c r="K147">
        <v>499</v>
      </c>
      <c r="L147">
        <v>110</v>
      </c>
    </row>
    <row r="148" spans="1:12" x14ac:dyDescent="0.25">
      <c r="A148" t="s">
        <v>522</v>
      </c>
      <c r="B148" t="s">
        <v>13</v>
      </c>
      <c r="C148" t="s">
        <v>205</v>
      </c>
      <c r="D148" t="s">
        <v>523</v>
      </c>
      <c r="E148" t="s">
        <v>524</v>
      </c>
      <c r="F148">
        <v>31</v>
      </c>
      <c r="G148">
        <v>22</v>
      </c>
      <c r="H148">
        <v>20</v>
      </c>
      <c r="I148">
        <f>=MAX(30,ROUND(($F148*$G148+$H148)/5,0)*5)</f>
        <v>700</v>
      </c>
      <c r="J148">
        <v>699</v>
      </c>
      <c r="K148">
        <v>769</v>
      </c>
      <c r="L148">
        <v>169</v>
      </c>
    </row>
    <row r="149" spans="1:12" x14ac:dyDescent="0.25">
      <c r="A149" t="s">
        <v>525</v>
      </c>
      <c r="B149" t="s">
        <v>35</v>
      </c>
      <c r="C149" t="s">
        <v>56</v>
      </c>
      <c r="D149" t="s">
        <v>526</v>
      </c>
      <c r="E149" t="s">
        <v>527</v>
      </c>
      <c r="F149" t="s">
        <v>20</v>
      </c>
      <c r="G149">
        <v>0</v>
      </c>
      <c r="H149">
        <v>150</v>
      </c>
      <c r="I149">
        <f>=MAX(30,ROUND(($F149*$G149+$H149)/5,0)*5)</f>
        <v>150</v>
      </c>
      <c r="J149">
        <v>1300</v>
      </c>
      <c r="K149">
        <v>1430</v>
      </c>
      <c r="L149">
        <v>315</v>
      </c>
    </row>
    <row r="150" spans="1:12" x14ac:dyDescent="0.25">
      <c r="A150" t="s">
        <v>528</v>
      </c>
      <c r="B150" t="s">
        <v>26</v>
      </c>
      <c r="C150" t="s">
        <v>510</v>
      </c>
      <c r="D150" t="s">
        <v>529</v>
      </c>
      <c r="E150" t="s">
        <v>530</v>
      </c>
      <c r="F150" t="s">
        <v>20</v>
      </c>
      <c r="G150">
        <v>0</v>
      </c>
      <c r="H150">
        <v>200</v>
      </c>
      <c r="I150">
        <f>=MAX(30,ROUND(($F150*$G150+$H150)/5,0)*5)</f>
        <v>200</v>
      </c>
      <c r="J150">
        <v>899</v>
      </c>
      <c r="K150">
        <v>989</v>
      </c>
      <c r="L150">
        <v>218</v>
      </c>
    </row>
    <row r="151" spans="1:12" x14ac:dyDescent="0.25">
      <c r="A151" t="s">
        <v>531</v>
      </c>
      <c r="B151" t="s">
        <v>13</v>
      </c>
      <c r="C151" t="s">
        <v>22</v>
      </c>
      <c r="D151" t="s">
        <v>532</v>
      </c>
      <c r="E151" t="s">
        <v>533</v>
      </c>
      <c r="F151">
        <v>7</v>
      </c>
      <c r="G151">
        <v>22</v>
      </c>
      <c r="H151">
        <v>20</v>
      </c>
      <c r="I151">
        <f>=MAX(30,ROUND(($F151*$G151+$H151)/5,0)*5)</f>
        <v>175</v>
      </c>
    </row>
    <row r="152" spans="1:12" x14ac:dyDescent="0.25">
      <c r="A152" t="s">
        <v>534</v>
      </c>
      <c r="B152" t="s">
        <v>13</v>
      </c>
      <c r="C152" t="s">
        <v>535</v>
      </c>
      <c r="D152" t="s">
        <v>536</v>
      </c>
      <c r="E152" t="s">
        <v>537</v>
      </c>
      <c r="F152">
        <v>20</v>
      </c>
      <c r="G152">
        <v>22</v>
      </c>
      <c r="H152">
        <v>20</v>
      </c>
      <c r="I152">
        <f>=MAX(30,ROUND(($F152*$G152+$H152)/5,0)*5)</f>
        <v>460</v>
      </c>
    </row>
    <row r="153" spans="1:12" x14ac:dyDescent="0.25">
      <c r="A153" t="s">
        <v>538</v>
      </c>
      <c r="B153" t="s">
        <v>26</v>
      </c>
      <c r="C153" t="s">
        <v>201</v>
      </c>
      <c r="D153" t="s">
        <v>539</v>
      </c>
      <c r="E153" t="s">
        <v>540</v>
      </c>
      <c r="F153" t="s">
        <v>20</v>
      </c>
      <c r="G153">
        <v>0</v>
      </c>
      <c r="H153">
        <v>200</v>
      </c>
      <c r="I153">
        <f>=MAX(30,ROUND(($F153*$G153+$H153)/5,0)*5)</f>
        <v>200</v>
      </c>
      <c r="J153">
        <v>499</v>
      </c>
      <c r="K153">
        <v>549</v>
      </c>
      <c r="L153">
        <v>121</v>
      </c>
    </row>
    <row r="154" spans="1:12" x14ac:dyDescent="0.25">
      <c r="A154" t="s">
        <v>541</v>
      </c>
      <c r="B154" t="s">
        <v>26</v>
      </c>
      <c r="C154" t="s">
        <v>168</v>
      </c>
      <c r="D154" t="s">
        <v>542</v>
      </c>
      <c r="E154" t="s">
        <v>543</v>
      </c>
      <c r="F154" t="s">
        <v>20</v>
      </c>
      <c r="G154">
        <v>0</v>
      </c>
      <c r="H154">
        <v>200</v>
      </c>
      <c r="I154">
        <f>=MAX(30,ROUND(($F154*$G154+$H154)/5,0)*5)</f>
        <v>200</v>
      </c>
      <c r="J154">
        <v>1499</v>
      </c>
      <c r="K154">
        <v>1499</v>
      </c>
      <c r="L154">
        <v>330</v>
      </c>
    </row>
    <row r="155" spans="1:12" x14ac:dyDescent="0.25">
      <c r="A155" t="s">
        <v>544</v>
      </c>
      <c r="B155" t="s">
        <v>13</v>
      </c>
      <c r="C155" t="s">
        <v>545</v>
      </c>
      <c r="D155" t="s">
        <v>546</v>
      </c>
      <c r="E155" t="s">
        <v>547</v>
      </c>
      <c r="F155">
        <v>10</v>
      </c>
      <c r="G155">
        <v>22</v>
      </c>
      <c r="H155">
        <v>20</v>
      </c>
      <c r="I155">
        <f>=MAX(30,ROUND(($F155*$G155+$H155)/5,0)*5)</f>
        <v>240</v>
      </c>
      <c r="J155">
        <v>499</v>
      </c>
      <c r="K155">
        <v>499</v>
      </c>
      <c r="L155">
        <v>110</v>
      </c>
    </row>
    <row r="156" spans="1:12" x14ac:dyDescent="0.25">
      <c r="A156" t="s">
        <v>548</v>
      </c>
      <c r="B156" t="s">
        <v>13</v>
      </c>
      <c r="C156" t="s">
        <v>22</v>
      </c>
      <c r="D156" t="s">
        <v>549</v>
      </c>
      <c r="E156" t="s">
        <v>550</v>
      </c>
      <c r="F156">
        <v>30</v>
      </c>
      <c r="G156">
        <v>22</v>
      </c>
      <c r="H156">
        <v>20</v>
      </c>
      <c r="I156">
        <f>=MAX(30,ROUND(($F156*$G156+$H156)/5,0)*5)</f>
        <v>680</v>
      </c>
      <c r="J156">
        <v>1199</v>
      </c>
      <c r="K156">
        <v>1199</v>
      </c>
      <c r="L156">
        <v>264</v>
      </c>
    </row>
    <row r="157" spans="1:12" x14ac:dyDescent="0.25">
      <c r="A157" t="s">
        <v>551</v>
      </c>
      <c r="B157" t="s">
        <v>26</v>
      </c>
      <c r="C157" t="s">
        <v>168</v>
      </c>
      <c r="D157" t="s">
        <v>552</v>
      </c>
      <c r="E157" t="s">
        <v>553</v>
      </c>
      <c r="F157" t="s">
        <v>20</v>
      </c>
      <c r="G157">
        <v>0</v>
      </c>
      <c r="H157">
        <v>200</v>
      </c>
      <c r="I157">
        <f>=MAX(30,ROUND(($F157*$G157+$H157)/5,0)*5)</f>
        <v>200</v>
      </c>
      <c r="J157">
        <v>1899</v>
      </c>
      <c r="K157">
        <v>1899</v>
      </c>
      <c r="L157">
        <v>418</v>
      </c>
    </row>
    <row r="158" spans="1:12" x14ac:dyDescent="0.25">
      <c r="A158" t="s">
        <v>554</v>
      </c>
      <c r="B158" t="s">
        <v>13</v>
      </c>
      <c r="C158" t="s">
        <v>14</v>
      </c>
      <c r="D158" t="s">
        <v>555</v>
      </c>
      <c r="E158" t="s">
        <v>556</v>
      </c>
      <c r="F158">
        <v>30</v>
      </c>
      <c r="G158">
        <v>22</v>
      </c>
      <c r="H158">
        <v>20</v>
      </c>
      <c r="I158">
        <f>=MAX(30,ROUND(($F158*$G158+$H158)/5,0)*5)</f>
        <v>680</v>
      </c>
      <c r="J158">
        <v>599</v>
      </c>
      <c r="K158">
        <v>659</v>
      </c>
      <c r="L158">
        <v>145</v>
      </c>
    </row>
    <row r="159" spans="1:12" x14ac:dyDescent="0.25">
      <c r="A159" t="s">
        <v>557</v>
      </c>
      <c r="B159" t="s">
        <v>13</v>
      </c>
      <c r="C159" t="s">
        <v>22</v>
      </c>
      <c r="D159" t="s">
        <v>558</v>
      </c>
      <c r="E159" t="s">
        <v>559</v>
      </c>
      <c r="F159">
        <v>7</v>
      </c>
      <c r="G159">
        <v>22</v>
      </c>
      <c r="H159">
        <v>20</v>
      </c>
      <c r="I159">
        <f>=MAX(30,ROUND(($F159*$G159+$H159)/5,0)*5)</f>
        <v>175</v>
      </c>
      <c r="J159">
        <v>329</v>
      </c>
      <c r="K159">
        <v>329</v>
      </c>
      <c r="L159">
        <v>72</v>
      </c>
    </row>
    <row r="160" spans="1:12" x14ac:dyDescent="0.25">
      <c r="A160" t="s">
        <v>560</v>
      </c>
      <c r="B160" t="s">
        <v>13</v>
      </c>
      <c r="C160" t="s">
        <v>22</v>
      </c>
      <c r="D160" t="s">
        <v>561</v>
      </c>
      <c r="E160" t="s">
        <v>562</v>
      </c>
      <c r="F160">
        <v>7</v>
      </c>
      <c r="G160">
        <v>22</v>
      </c>
      <c r="H160">
        <v>20</v>
      </c>
      <c r="I160">
        <f>=MAX(30,ROUND(($F160*$G160+$H160)/5,0)*5)</f>
        <v>175</v>
      </c>
    </row>
    <row r="161" spans="1:12" x14ac:dyDescent="0.25">
      <c r="A161" t="s">
        <v>563</v>
      </c>
      <c r="B161" t="s">
        <v>13</v>
      </c>
      <c r="C161" t="s">
        <v>564</v>
      </c>
      <c r="D161" t="s">
        <v>565</v>
      </c>
      <c r="E161" t="s">
        <v>566</v>
      </c>
      <c r="F161">
        <v>45</v>
      </c>
      <c r="G161">
        <v>22</v>
      </c>
      <c r="H161">
        <v>20</v>
      </c>
      <c r="I161">
        <f>=MAX(30,ROUND(($F161*$G161+$H161)/5,0)*5)</f>
        <v>1010</v>
      </c>
      <c r="J161">
        <v>1180</v>
      </c>
      <c r="K161">
        <v>1298</v>
      </c>
      <c r="L161">
        <v>286</v>
      </c>
    </row>
    <row r="162" spans="1:12" x14ac:dyDescent="0.25">
      <c r="A162" t="s">
        <v>567</v>
      </c>
      <c r="B162" t="s">
        <v>13</v>
      </c>
      <c r="C162" t="s">
        <v>185</v>
      </c>
      <c r="D162" t="s">
        <v>568</v>
      </c>
      <c r="E162" t="s">
        <v>569</v>
      </c>
      <c r="F162" t="s">
        <v>20</v>
      </c>
      <c r="G162">
        <v>22</v>
      </c>
      <c r="H162">
        <v>20</v>
      </c>
      <c r="I162">
        <f>=MAX(30,ROUND(($F162*$G162+$H162)/5,0)*5)</f>
        <v>30</v>
      </c>
      <c r="J162">
        <v>99</v>
      </c>
      <c r="K162">
        <v>109</v>
      </c>
      <c r="L162">
        <v>24</v>
      </c>
    </row>
    <row r="163" spans="1:12" x14ac:dyDescent="0.25">
      <c r="A163" t="s">
        <v>570</v>
      </c>
      <c r="B163" t="s">
        <v>405</v>
      </c>
      <c r="C163" t="s">
        <v>571</v>
      </c>
      <c r="D163" t="s">
        <v>572</v>
      </c>
      <c r="E163" t="s">
        <v>573</v>
      </c>
      <c r="F163" t="s">
        <v>20</v>
      </c>
      <c r="G163">
        <v>0</v>
      </c>
      <c r="H163">
        <v>230</v>
      </c>
      <c r="I163">
        <f>=MAX(30,ROUND(($F163*$G163+$H163)/5,0)*5)</f>
        <v>230</v>
      </c>
      <c r="J163">
        <v>2999</v>
      </c>
      <c r="K163">
        <v>3299</v>
      </c>
      <c r="L163">
        <v>726</v>
      </c>
    </row>
    <row r="164" spans="1:12" x14ac:dyDescent="0.25">
      <c r="A164" t="s">
        <v>574</v>
      </c>
      <c r="B164" t="s">
        <v>13</v>
      </c>
      <c r="C164" t="s">
        <v>22</v>
      </c>
      <c r="D164" t="s">
        <v>575</v>
      </c>
      <c r="E164" t="s">
        <v>576</v>
      </c>
      <c r="F164">
        <v>30</v>
      </c>
      <c r="G164">
        <v>22</v>
      </c>
      <c r="H164">
        <v>20</v>
      </c>
      <c r="I164">
        <f>=MAX(30,ROUND(($F164*$G164+$H164)/5,0)*5)</f>
        <v>680</v>
      </c>
      <c r="J164">
        <v>1199</v>
      </c>
      <c r="K164">
        <v>1199</v>
      </c>
      <c r="L164">
        <v>264</v>
      </c>
    </row>
    <row r="165" spans="1:12" x14ac:dyDescent="0.25">
      <c r="A165" t="s">
        <v>577</v>
      </c>
      <c r="B165" t="s">
        <v>26</v>
      </c>
      <c r="C165" t="s">
        <v>201</v>
      </c>
      <c r="D165" t="s">
        <v>578</v>
      </c>
      <c r="E165" t="s">
        <v>579</v>
      </c>
      <c r="F165" t="s">
        <v>20</v>
      </c>
      <c r="G165">
        <v>0</v>
      </c>
      <c r="H165">
        <v>200</v>
      </c>
      <c r="I165">
        <f>=MAX(30,ROUND(($F165*$G165+$H165)/5,0)*5)</f>
        <v>200</v>
      </c>
      <c r="J165">
        <v>499</v>
      </c>
      <c r="K165">
        <v>549</v>
      </c>
      <c r="L165">
        <v>121</v>
      </c>
    </row>
    <row r="166" spans="1:12" x14ac:dyDescent="0.25">
      <c r="A166" t="s">
        <v>580</v>
      </c>
      <c r="B166" t="s">
        <v>13</v>
      </c>
      <c r="C166" t="s">
        <v>132</v>
      </c>
      <c r="D166" t="s">
        <v>581</v>
      </c>
      <c r="E166" t="s">
        <v>582</v>
      </c>
      <c r="F166" t="s">
        <v>20</v>
      </c>
      <c r="G166">
        <v>22</v>
      </c>
      <c r="H166">
        <v>20</v>
      </c>
      <c r="I166">
        <f>=MAX(30,ROUND(($F166*$G166+$H166)/5,0)*5)</f>
        <v>30</v>
      </c>
      <c r="J166">
        <v>499</v>
      </c>
      <c r="K166">
        <v>549</v>
      </c>
      <c r="L166">
        <v>121</v>
      </c>
    </row>
    <row r="167" spans="1:12" x14ac:dyDescent="0.25">
      <c r="A167" t="s">
        <v>583</v>
      </c>
      <c r="B167" t="s">
        <v>26</v>
      </c>
      <c r="C167" t="s">
        <v>117</v>
      </c>
      <c r="D167" t="s">
        <v>584</v>
      </c>
      <c r="E167" t="s">
        <v>585</v>
      </c>
      <c r="F167" t="s">
        <v>20</v>
      </c>
      <c r="G167">
        <v>0</v>
      </c>
      <c r="H167">
        <v>200</v>
      </c>
      <c r="I167">
        <f>=MAX(30,ROUND(($F167*$G167+$H167)/5,0)*5)</f>
        <v>200</v>
      </c>
      <c r="J167">
        <v>899</v>
      </c>
      <c r="K167">
        <v>989</v>
      </c>
      <c r="L167">
        <v>218</v>
      </c>
    </row>
    <row r="168" spans="1:12" x14ac:dyDescent="0.25">
      <c r="A168" t="s">
        <v>586</v>
      </c>
      <c r="B168" t="s">
        <v>13</v>
      </c>
      <c r="C168" t="s">
        <v>278</v>
      </c>
      <c r="D168" t="s">
        <v>587</v>
      </c>
      <c r="E168" t="s">
        <v>588</v>
      </c>
      <c r="F168">
        <v>30</v>
      </c>
      <c r="G168">
        <v>22</v>
      </c>
      <c r="H168">
        <v>20</v>
      </c>
      <c r="I168">
        <f>=MAX(30,ROUND(($F168*$G168+$H168)/5,0)*5)</f>
        <v>680</v>
      </c>
      <c r="J168">
        <v>999</v>
      </c>
      <c r="K168">
        <v>1099</v>
      </c>
      <c r="L168">
        <v>242</v>
      </c>
    </row>
    <row r="169" spans="1:12" x14ac:dyDescent="0.25">
      <c r="A169" t="s">
        <v>589</v>
      </c>
      <c r="B169" t="s">
        <v>26</v>
      </c>
      <c r="C169" t="s">
        <v>256</v>
      </c>
      <c r="D169" t="s">
        <v>590</v>
      </c>
      <c r="E169" t="s">
        <v>591</v>
      </c>
      <c r="F169" t="s">
        <v>20</v>
      </c>
      <c r="G169">
        <v>0</v>
      </c>
      <c r="H169">
        <v>200</v>
      </c>
      <c r="I169">
        <f>=MAX(30,ROUND(($F169*$G169+$H169)/5,0)*5)</f>
        <v>200</v>
      </c>
      <c r="J169">
        <v>899</v>
      </c>
      <c r="K169">
        <v>899</v>
      </c>
      <c r="L169">
        <v>198</v>
      </c>
    </row>
    <row r="170" spans="1:12" x14ac:dyDescent="0.25">
      <c r="A170" t="s">
        <v>592</v>
      </c>
      <c r="B170" t="s">
        <v>13</v>
      </c>
      <c r="C170" t="s">
        <v>593</v>
      </c>
      <c r="D170" t="s">
        <v>594</v>
      </c>
      <c r="E170" t="s">
        <v>595</v>
      </c>
      <c r="F170">
        <v>7</v>
      </c>
      <c r="G170">
        <v>22</v>
      </c>
      <c r="H170">
        <v>20</v>
      </c>
      <c r="I170">
        <f>=MAX(30,ROUND(($F170*$G170+$H170)/5,0)*5)</f>
        <v>175</v>
      </c>
      <c r="J170">
        <v>299</v>
      </c>
      <c r="K170">
        <v>299</v>
      </c>
      <c r="L170">
        <v>66</v>
      </c>
    </row>
    <row r="171" spans="1:12" x14ac:dyDescent="0.25">
      <c r="A171" t="s">
        <v>596</v>
      </c>
      <c r="B171" t="s">
        <v>13</v>
      </c>
      <c r="C171" t="s">
        <v>597</v>
      </c>
      <c r="D171" t="s">
        <v>598</v>
      </c>
      <c r="E171" t="s">
        <v>599</v>
      </c>
      <c r="F171">
        <v>45</v>
      </c>
      <c r="G171">
        <v>22</v>
      </c>
      <c r="H171">
        <v>20</v>
      </c>
      <c r="I171">
        <f>=MAX(30,ROUND(($F171*$G171+$H171)/5,0)*5)</f>
        <v>1010</v>
      </c>
      <c r="J171">
        <v>1180</v>
      </c>
      <c r="K171">
        <v>1298</v>
      </c>
      <c r="L171">
        <v>286</v>
      </c>
    </row>
    <row r="172" spans="1:12" x14ac:dyDescent="0.25">
      <c r="A172" t="s">
        <v>600</v>
      </c>
      <c r="B172" t="s">
        <v>26</v>
      </c>
      <c r="C172" t="s">
        <v>601</v>
      </c>
      <c r="D172" t="s">
        <v>602</v>
      </c>
      <c r="E172" t="s">
        <v>603</v>
      </c>
      <c r="F172" t="s">
        <v>20</v>
      </c>
      <c r="G172">
        <v>0</v>
      </c>
      <c r="H172">
        <v>200</v>
      </c>
      <c r="I172">
        <f>=MAX(30,ROUND(($F172*$G172+$H172)/5,0)*5)</f>
        <v>200</v>
      </c>
      <c r="J172">
        <v>999</v>
      </c>
      <c r="K172">
        <v>999</v>
      </c>
      <c r="L172">
        <v>220</v>
      </c>
    </row>
    <row r="173" spans="1:12" x14ac:dyDescent="0.25">
      <c r="A173" t="s">
        <v>604</v>
      </c>
      <c r="B173" t="s">
        <v>105</v>
      </c>
      <c r="C173" t="s">
        <v>449</v>
      </c>
      <c r="D173" t="s">
        <v>605</v>
      </c>
      <c r="E173" t="s">
        <v>606</v>
      </c>
      <c r="F173">
        <v>60</v>
      </c>
      <c r="G173">
        <v>8</v>
      </c>
      <c r="H173">
        <v>18</v>
      </c>
      <c r="I173">
        <f>=MAX(30,ROUND(($F173*$G173+$H173)/5,0)*5)</f>
        <v>500</v>
      </c>
      <c r="J173">
        <v>799</v>
      </c>
      <c r="K173">
        <v>879</v>
      </c>
      <c r="L173">
        <v>193</v>
      </c>
    </row>
    <row r="174" spans="1:12" x14ac:dyDescent="0.25">
      <c r="A174" t="s">
        <v>607</v>
      </c>
      <c r="B174" t="s">
        <v>26</v>
      </c>
      <c r="C174" t="s">
        <v>608</v>
      </c>
      <c r="D174" t="s">
        <v>609</v>
      </c>
      <c r="E174" t="s">
        <v>610</v>
      </c>
      <c r="F174" t="s">
        <v>20</v>
      </c>
      <c r="G174">
        <v>0</v>
      </c>
      <c r="H174">
        <v>200</v>
      </c>
      <c r="I174">
        <f>=MAX(30,ROUND(($F174*$G174+$H174)/5,0)*5)</f>
        <v>200</v>
      </c>
    </row>
    <row r="175" spans="1:12" x14ac:dyDescent="0.25">
      <c r="A175" t="s">
        <v>611</v>
      </c>
      <c r="B175" t="s">
        <v>35</v>
      </c>
      <c r="C175" t="s">
        <v>168</v>
      </c>
      <c r="D175" t="s">
        <v>612</v>
      </c>
      <c r="E175" t="s">
        <v>613</v>
      </c>
      <c r="F175" t="s">
        <v>20</v>
      </c>
      <c r="G175">
        <v>0</v>
      </c>
      <c r="H175">
        <v>150</v>
      </c>
      <c r="I175">
        <f>=MAX(30,ROUND(($F175*$G175+$H175)/5,0)*5)</f>
        <v>150</v>
      </c>
      <c r="J175">
        <v>999</v>
      </c>
      <c r="K175">
        <v>999</v>
      </c>
      <c r="L175">
        <v>220</v>
      </c>
    </row>
    <row r="176" spans="1:12" x14ac:dyDescent="0.25">
      <c r="A176" t="s">
        <v>614</v>
      </c>
      <c r="B176" t="s">
        <v>13</v>
      </c>
      <c r="C176" t="s">
        <v>456</v>
      </c>
      <c r="D176" t="s">
        <v>615</v>
      </c>
      <c r="E176" t="s">
        <v>616</v>
      </c>
      <c r="F176">
        <v>1</v>
      </c>
      <c r="G176">
        <v>22</v>
      </c>
      <c r="H176">
        <v>20</v>
      </c>
      <c r="I176">
        <f>=MAX(30,ROUND(($F176*$G176+$H176)/5,0)*5)</f>
        <v>40</v>
      </c>
      <c r="J176">
        <v>169</v>
      </c>
      <c r="K176">
        <v>169</v>
      </c>
      <c r="L176">
        <v>37</v>
      </c>
    </row>
    <row r="177" spans="1:12" x14ac:dyDescent="0.25">
      <c r="A177" t="s">
        <v>617</v>
      </c>
      <c r="B177" t="s">
        <v>13</v>
      </c>
      <c r="C177" t="s">
        <v>205</v>
      </c>
      <c r="D177" t="s">
        <v>618</v>
      </c>
      <c r="E177" t="s">
        <v>619</v>
      </c>
      <c r="F177">
        <v>31</v>
      </c>
      <c r="G177">
        <v>22</v>
      </c>
      <c r="H177">
        <v>20</v>
      </c>
      <c r="I177">
        <f>=MAX(30,ROUND(($F177*$G177+$H177)/5,0)*5)</f>
        <v>700</v>
      </c>
      <c r="J177">
        <v>599</v>
      </c>
      <c r="K177">
        <v>659</v>
      </c>
      <c r="L177">
        <v>145</v>
      </c>
    </row>
    <row r="178" spans="1:12" x14ac:dyDescent="0.25">
      <c r="A178" t="s">
        <v>620</v>
      </c>
      <c r="B178" t="s">
        <v>26</v>
      </c>
      <c r="C178" t="s">
        <v>621</v>
      </c>
      <c r="D178" t="s">
        <v>622</v>
      </c>
      <c r="E178" t="s">
        <v>623</v>
      </c>
      <c r="F178" t="s">
        <v>20</v>
      </c>
      <c r="G178">
        <v>0</v>
      </c>
      <c r="H178">
        <v>200</v>
      </c>
      <c r="I178">
        <f>=MAX(30,ROUND(($F178*$G178+$H178)/5,0)*5)</f>
        <v>200</v>
      </c>
      <c r="J178">
        <v>699</v>
      </c>
      <c r="K178">
        <v>699</v>
      </c>
      <c r="L178">
        <v>154</v>
      </c>
    </row>
    <row r="179" spans="1:12" x14ac:dyDescent="0.25">
      <c r="A179" t="s">
        <v>624</v>
      </c>
      <c r="B179" t="s">
        <v>35</v>
      </c>
      <c r="C179" t="s">
        <v>56</v>
      </c>
      <c r="D179" t="s">
        <v>625</v>
      </c>
      <c r="E179" t="s">
        <v>626</v>
      </c>
      <c r="F179" t="s">
        <v>20</v>
      </c>
      <c r="G179">
        <v>0</v>
      </c>
      <c r="H179">
        <v>150</v>
      </c>
      <c r="I179">
        <f>=MAX(30,ROUND(($F179*$G179+$H179)/5,0)*5)</f>
        <v>150</v>
      </c>
      <c r="J179">
        <v>1430</v>
      </c>
      <c r="K179">
        <v>1430</v>
      </c>
      <c r="L179">
        <v>315</v>
      </c>
    </row>
    <row r="180" spans="1:12" x14ac:dyDescent="0.25">
      <c r="A180" t="s">
        <v>627</v>
      </c>
      <c r="B180" t="s">
        <v>13</v>
      </c>
      <c r="C180" t="s">
        <v>628</v>
      </c>
      <c r="D180" t="s">
        <v>629</v>
      </c>
      <c r="E180" t="s">
        <v>630</v>
      </c>
      <c r="F180" t="s">
        <v>20</v>
      </c>
      <c r="G180">
        <v>22</v>
      </c>
      <c r="H180">
        <v>20</v>
      </c>
      <c r="I180">
        <f>=MAX(30,ROUND(($F180*$G180+$H180)/5,0)*5)</f>
        <v>30</v>
      </c>
      <c r="J180">
        <v>1499</v>
      </c>
      <c r="K180">
        <v>1649</v>
      </c>
      <c r="L180">
        <v>363</v>
      </c>
    </row>
    <row r="181" spans="1:12" x14ac:dyDescent="0.25">
      <c r="A181" t="s">
        <v>631</v>
      </c>
      <c r="B181" t="s">
        <v>26</v>
      </c>
      <c r="C181" t="s">
        <v>632</v>
      </c>
      <c r="D181" t="s">
        <v>633</v>
      </c>
      <c r="E181" t="s">
        <v>634</v>
      </c>
      <c r="F181" t="s">
        <v>20</v>
      </c>
      <c r="G181">
        <v>0</v>
      </c>
      <c r="H181">
        <v>200</v>
      </c>
      <c r="I181">
        <f>=MAX(30,ROUND(($F181*$G181+$H181)/5,0)*5)</f>
        <v>200</v>
      </c>
      <c r="J181">
        <v>199</v>
      </c>
      <c r="K181">
        <v>219</v>
      </c>
      <c r="L181">
        <v>48</v>
      </c>
    </row>
    <row r="182" spans="1:12" x14ac:dyDescent="0.25">
      <c r="A182" t="s">
        <v>635</v>
      </c>
      <c r="B182" t="s">
        <v>13</v>
      </c>
      <c r="C182" t="s">
        <v>168</v>
      </c>
      <c r="D182" t="s">
        <v>636</v>
      </c>
      <c r="E182" t="s">
        <v>637</v>
      </c>
      <c r="F182" t="s">
        <v>20</v>
      </c>
      <c r="G182">
        <v>22</v>
      </c>
      <c r="H182">
        <v>20</v>
      </c>
      <c r="I182">
        <f>=MAX(30,ROUND(($F182*$G182+$H182)/5,0)*5)</f>
        <v>30</v>
      </c>
      <c r="J182">
        <v>499</v>
      </c>
      <c r="K182">
        <v>549</v>
      </c>
      <c r="L182">
        <v>121</v>
      </c>
    </row>
    <row r="183" spans="1:12" x14ac:dyDescent="0.25">
      <c r="A183" t="s">
        <v>638</v>
      </c>
      <c r="B183" t="s">
        <v>13</v>
      </c>
      <c r="C183" t="s">
        <v>47</v>
      </c>
      <c r="D183" t="s">
        <v>639</v>
      </c>
      <c r="E183" t="s">
        <v>640</v>
      </c>
      <c r="F183">
        <v>30</v>
      </c>
      <c r="G183">
        <v>22</v>
      </c>
      <c r="H183">
        <v>20</v>
      </c>
      <c r="I183">
        <f>=MAX(30,ROUND(($F183*$G183+$H183)/5,0)*5)</f>
        <v>680</v>
      </c>
      <c r="J183">
        <v>499</v>
      </c>
      <c r="K183">
        <v>499</v>
      </c>
      <c r="L183">
        <v>110</v>
      </c>
    </row>
    <row r="184" spans="1:12" x14ac:dyDescent="0.25">
      <c r="A184" t="s">
        <v>641</v>
      </c>
      <c r="B184" t="s">
        <v>26</v>
      </c>
      <c r="C184" t="s">
        <v>93</v>
      </c>
      <c r="D184" t="s">
        <v>642</v>
      </c>
      <c r="E184" t="s">
        <v>643</v>
      </c>
      <c r="F184">
        <v>60</v>
      </c>
      <c r="G184">
        <v>0</v>
      </c>
      <c r="H184">
        <v>200</v>
      </c>
      <c r="I184">
        <f>=MAX(30,ROUND(($F184*$G184+$H184)/5,0)*5)</f>
        <v>1340</v>
      </c>
      <c r="J184">
        <v>999</v>
      </c>
      <c r="K184">
        <v>1099</v>
      </c>
      <c r="L184">
        <v>242</v>
      </c>
    </row>
    <row r="185" spans="1:12" x14ac:dyDescent="0.25">
      <c r="A185" t="s">
        <v>644</v>
      </c>
      <c r="B185" t="s">
        <v>26</v>
      </c>
      <c r="C185" t="s">
        <v>645</v>
      </c>
      <c r="D185" t="s">
        <v>646</v>
      </c>
      <c r="E185" t="s">
        <v>647</v>
      </c>
      <c r="F185" t="s">
        <v>20</v>
      </c>
      <c r="G185">
        <v>0</v>
      </c>
      <c r="H185">
        <v>200</v>
      </c>
      <c r="I185">
        <f>=MAX(30,ROUND(($F185*$G185+$H185)/5,0)*5)</f>
        <v>200</v>
      </c>
    </row>
    <row r="186" spans="1:12" x14ac:dyDescent="0.25">
      <c r="A186" t="s">
        <v>648</v>
      </c>
      <c r="B186" t="s">
        <v>13</v>
      </c>
      <c r="C186" t="s">
        <v>649</v>
      </c>
      <c r="D186" t="s">
        <v>650</v>
      </c>
      <c r="E186" t="s">
        <v>651</v>
      </c>
      <c r="F186">
        <v>30</v>
      </c>
      <c r="G186">
        <v>22</v>
      </c>
      <c r="H186">
        <v>20</v>
      </c>
      <c r="I186">
        <f>=MAX(30,ROUND(($F186*$G186+$H186)/5,0)*5)</f>
        <v>680</v>
      </c>
      <c r="J186">
        <v>499</v>
      </c>
      <c r="K186">
        <v>549</v>
      </c>
      <c r="L186">
        <v>121</v>
      </c>
    </row>
    <row r="187" spans="1:12" x14ac:dyDescent="0.25">
      <c r="A187" t="s">
        <v>652</v>
      </c>
      <c r="B187" t="s">
        <v>55</v>
      </c>
      <c r="C187" t="s">
        <v>653</v>
      </c>
      <c r="D187" t="s">
        <v>654</v>
      </c>
      <c r="E187" t="s">
        <v>655</v>
      </c>
      <c r="F187" t="s">
        <v>20</v>
      </c>
      <c r="G187">
        <v>0</v>
      </c>
      <c r="H187">
        <v>260</v>
      </c>
      <c r="I187">
        <f>=MAX(30,ROUND(($F187*$G187+$H187)/5,0)*5)</f>
        <v>260</v>
      </c>
      <c r="J187">
        <v>599</v>
      </c>
      <c r="K187">
        <v>599</v>
      </c>
      <c r="L187">
        <v>132</v>
      </c>
    </row>
    <row r="188" spans="1:12" x14ac:dyDescent="0.25">
      <c r="A188" t="s">
        <v>656</v>
      </c>
      <c r="B188" t="s">
        <v>35</v>
      </c>
      <c r="C188" t="s">
        <v>14</v>
      </c>
      <c r="D188" t="s">
        <v>657</v>
      </c>
      <c r="E188" t="s">
        <v>658</v>
      </c>
      <c r="F188" t="s">
        <v>20</v>
      </c>
      <c r="G188">
        <v>0</v>
      </c>
      <c r="H188">
        <v>150</v>
      </c>
      <c r="I188">
        <f>=MAX(30,ROUND(($F188*$G188+$H188)/5,0)*5)</f>
        <v>150</v>
      </c>
      <c r="J188">
        <v>999</v>
      </c>
      <c r="K188">
        <v>1099</v>
      </c>
      <c r="L188">
        <v>242</v>
      </c>
    </row>
    <row r="189" spans="1:12" x14ac:dyDescent="0.25">
      <c r="A189" t="s">
        <v>659</v>
      </c>
      <c r="B189" t="s">
        <v>35</v>
      </c>
      <c r="C189" t="s">
        <v>93</v>
      </c>
      <c r="D189" t="s">
        <v>660</v>
      </c>
      <c r="E189" t="s">
        <v>661</v>
      </c>
      <c r="F189" t="s">
        <v>20</v>
      </c>
      <c r="G189">
        <v>0</v>
      </c>
      <c r="H189">
        <v>150</v>
      </c>
      <c r="I189">
        <f>=MAX(30,ROUND(($F189*$G189+$H189)/5,0)*5)</f>
        <v>150</v>
      </c>
    </row>
    <row r="190" spans="1:12" x14ac:dyDescent="0.25">
      <c r="A190" t="s">
        <v>662</v>
      </c>
      <c r="B190" t="s">
        <v>26</v>
      </c>
      <c r="C190" t="s">
        <v>222</v>
      </c>
      <c r="D190" t="s">
        <v>663</v>
      </c>
      <c r="E190" t="s">
        <v>664</v>
      </c>
      <c r="F190" t="s">
        <v>20</v>
      </c>
      <c r="G190">
        <v>0</v>
      </c>
      <c r="H190">
        <v>200</v>
      </c>
      <c r="I190">
        <f>=MAX(30,ROUND(($F190*$G190+$H190)/5,0)*5)</f>
        <v>200</v>
      </c>
      <c r="J190">
        <v>299</v>
      </c>
      <c r="K190">
        <v>299</v>
      </c>
      <c r="L190">
        <v>66</v>
      </c>
    </row>
    <row r="191" spans="1:12" x14ac:dyDescent="0.25">
      <c r="A191" t="s">
        <v>665</v>
      </c>
      <c r="B191" t="s">
        <v>13</v>
      </c>
      <c r="C191" t="s">
        <v>666</v>
      </c>
      <c r="D191" t="s">
        <v>667</v>
      </c>
      <c r="E191" t="s">
        <v>668</v>
      </c>
      <c r="F191">
        <v>20</v>
      </c>
      <c r="G191">
        <v>22</v>
      </c>
      <c r="H191">
        <v>20</v>
      </c>
      <c r="I191">
        <f>=MAX(30,ROUND(($F191*$G191+$H191)/5,0)*5)</f>
        <v>460</v>
      </c>
      <c r="J191">
        <v>699</v>
      </c>
      <c r="K191">
        <v>699</v>
      </c>
      <c r="L191">
        <v>154</v>
      </c>
    </row>
    <row r="192" spans="1:12" x14ac:dyDescent="0.25">
      <c r="A192" t="s">
        <v>669</v>
      </c>
      <c r="B192" t="s">
        <v>13</v>
      </c>
      <c r="C192" t="s">
        <v>632</v>
      </c>
      <c r="D192" t="s">
        <v>670</v>
      </c>
      <c r="E192" t="s">
        <v>671</v>
      </c>
      <c r="F192" t="s">
        <v>20</v>
      </c>
      <c r="G192">
        <v>22</v>
      </c>
      <c r="H192">
        <v>20</v>
      </c>
      <c r="I192">
        <f>=MAX(30,ROUND(($F192*$G192+$H192)/5,0)*5)</f>
        <v>30</v>
      </c>
      <c r="J192">
        <v>199</v>
      </c>
      <c r="K192">
        <v>199</v>
      </c>
      <c r="L192">
        <v>44</v>
      </c>
    </row>
    <row r="193" spans="1:12" x14ac:dyDescent="0.25">
      <c r="A193" t="s">
        <v>672</v>
      </c>
      <c r="B193" t="s">
        <v>13</v>
      </c>
      <c r="C193" t="s">
        <v>426</v>
      </c>
      <c r="D193" t="s">
        <v>673</v>
      </c>
      <c r="E193" t="s">
        <v>674</v>
      </c>
      <c r="F193" t="s">
        <v>20</v>
      </c>
      <c r="G193">
        <v>22</v>
      </c>
      <c r="H193">
        <v>20</v>
      </c>
      <c r="I193">
        <f>=MAX(30,ROUND(($F193*$G193+$H193)/5,0)*5)</f>
        <v>30</v>
      </c>
      <c r="J193">
        <v>499</v>
      </c>
      <c r="K193">
        <v>549</v>
      </c>
      <c r="L193">
        <v>121</v>
      </c>
    </row>
    <row r="194" spans="1:12" x14ac:dyDescent="0.25">
      <c r="A194" t="s">
        <v>675</v>
      </c>
      <c r="B194" t="s">
        <v>26</v>
      </c>
      <c r="C194" t="s">
        <v>676</v>
      </c>
      <c r="D194" t="s">
        <v>677</v>
      </c>
      <c r="E194" t="s">
        <v>678</v>
      </c>
      <c r="F194" t="s">
        <v>20</v>
      </c>
      <c r="G194">
        <v>0</v>
      </c>
      <c r="H194">
        <v>200</v>
      </c>
      <c r="I194">
        <f>=MAX(30,ROUND(($F194*$G194+$H194)/5,0)*5)</f>
        <v>200</v>
      </c>
    </row>
    <row r="195" spans="1:12" x14ac:dyDescent="0.25">
      <c r="A195" t="s">
        <v>679</v>
      </c>
      <c r="B195" t="s">
        <v>26</v>
      </c>
      <c r="C195" t="s">
        <v>93</v>
      </c>
      <c r="D195" t="s">
        <v>680</v>
      </c>
      <c r="E195" t="s">
        <v>681</v>
      </c>
      <c r="F195" t="s">
        <v>20</v>
      </c>
      <c r="G195">
        <v>0</v>
      </c>
      <c r="H195">
        <v>200</v>
      </c>
      <c r="I195">
        <f>=MAX(30,ROUND(($F195*$G195+$H195)/5,0)*5)</f>
        <v>200</v>
      </c>
      <c r="J195">
        <v>1090</v>
      </c>
      <c r="K195">
        <v>1090</v>
      </c>
      <c r="L195">
        <v>240</v>
      </c>
    </row>
    <row r="196" spans="1:12" x14ac:dyDescent="0.25">
      <c r="A196" t="s">
        <v>682</v>
      </c>
      <c r="B196" t="s">
        <v>26</v>
      </c>
      <c r="C196" t="s">
        <v>93</v>
      </c>
      <c r="D196" t="s">
        <v>683</v>
      </c>
      <c r="E196" t="s">
        <v>684</v>
      </c>
      <c r="F196" t="s">
        <v>20</v>
      </c>
      <c r="G196">
        <v>0</v>
      </c>
      <c r="H196">
        <v>200</v>
      </c>
      <c r="I196">
        <f>=MAX(30,ROUND(($F196*$G196+$H196)/5,0)*5)</f>
        <v>200</v>
      </c>
    </row>
    <row r="197" spans="1:12" x14ac:dyDescent="0.25">
      <c r="A197" t="s">
        <v>685</v>
      </c>
      <c r="B197" t="s">
        <v>105</v>
      </c>
      <c r="C197" t="s">
        <v>545</v>
      </c>
      <c r="D197" t="s">
        <v>686</v>
      </c>
      <c r="E197" t="s">
        <v>687</v>
      </c>
      <c r="F197">
        <v>60</v>
      </c>
      <c r="G197">
        <v>8</v>
      </c>
      <c r="H197">
        <v>18</v>
      </c>
      <c r="I197">
        <f>=MAX(30,ROUND(($F197*$G197+$H197)/5,0)*5)</f>
        <v>500</v>
      </c>
    </row>
    <row r="198" spans="1:12" x14ac:dyDescent="0.25">
      <c r="A198" t="s">
        <v>688</v>
      </c>
      <c r="B198" t="s">
        <v>13</v>
      </c>
      <c r="C198" t="s">
        <v>689</v>
      </c>
      <c r="D198" t="s">
        <v>690</v>
      </c>
      <c r="E198" t="s">
        <v>691</v>
      </c>
      <c r="F198">
        <v>50</v>
      </c>
      <c r="G198">
        <v>22</v>
      </c>
      <c r="H198">
        <v>20</v>
      </c>
      <c r="I198">
        <f>=MAX(30,ROUND(($F198*$G198+$H198)/5,0)*5)</f>
        <v>1120</v>
      </c>
      <c r="J198">
        <v>699</v>
      </c>
      <c r="K198">
        <v>769</v>
      </c>
      <c r="L198">
        <v>169</v>
      </c>
    </row>
    <row r="199" spans="1:12" x14ac:dyDescent="0.25">
      <c r="A199" t="s">
        <v>692</v>
      </c>
      <c r="B199" t="s">
        <v>13</v>
      </c>
      <c r="C199" t="s">
        <v>47</v>
      </c>
      <c r="D199" t="s">
        <v>693</v>
      </c>
      <c r="E199" t="s">
        <v>694</v>
      </c>
      <c r="F199">
        <v>50</v>
      </c>
      <c r="G199">
        <v>22</v>
      </c>
      <c r="H199">
        <v>20</v>
      </c>
      <c r="I199">
        <f>=MAX(30,ROUND(($F199*$G199+$H199)/5,0)*5)</f>
        <v>1120</v>
      </c>
      <c r="J199">
        <v>499</v>
      </c>
      <c r="K199">
        <v>499</v>
      </c>
      <c r="L199">
        <v>110</v>
      </c>
    </row>
    <row r="200" spans="1:12" x14ac:dyDescent="0.25">
      <c r="A200" t="s">
        <v>695</v>
      </c>
      <c r="B200" t="s">
        <v>35</v>
      </c>
      <c r="C200" t="s">
        <v>299</v>
      </c>
      <c r="D200" t="s">
        <v>696</v>
      </c>
      <c r="E200" t="s">
        <v>697</v>
      </c>
      <c r="F200" t="s">
        <v>20</v>
      </c>
      <c r="G200">
        <v>0</v>
      </c>
      <c r="H200">
        <v>150</v>
      </c>
      <c r="I200">
        <f>=MAX(30,ROUND(($F200*$G200+$H200)/5,0)*5)</f>
        <v>150</v>
      </c>
      <c r="J200">
        <v>299</v>
      </c>
      <c r="K200">
        <v>299</v>
      </c>
      <c r="L200">
        <v>66</v>
      </c>
    </row>
    <row r="201" spans="1:12" x14ac:dyDescent="0.25">
      <c r="A201" t="s">
        <v>698</v>
      </c>
      <c r="B201" t="s">
        <v>55</v>
      </c>
      <c r="C201" t="s">
        <v>482</v>
      </c>
      <c r="D201" t="s">
        <v>699</v>
      </c>
      <c r="E201" t="s">
        <v>700</v>
      </c>
      <c r="F201" t="s">
        <v>20</v>
      </c>
      <c r="G201">
        <v>0</v>
      </c>
      <c r="H201">
        <v>260</v>
      </c>
      <c r="I201">
        <f>=MAX(30,ROUND(($F201*$G201+$H201)/5,0)*5)</f>
        <v>260</v>
      </c>
      <c r="J201">
        <v>899</v>
      </c>
      <c r="K201">
        <v>989</v>
      </c>
      <c r="L201">
        <v>218</v>
      </c>
    </row>
    <row r="202" spans="1:12" x14ac:dyDescent="0.25">
      <c r="A202" t="s">
        <v>701</v>
      </c>
      <c r="B202" t="s">
        <v>13</v>
      </c>
      <c r="C202" t="s">
        <v>632</v>
      </c>
      <c r="D202" t="s">
        <v>702</v>
      </c>
      <c r="E202" t="s">
        <v>703</v>
      </c>
      <c r="F202" t="s">
        <v>20</v>
      </c>
      <c r="G202">
        <v>22</v>
      </c>
      <c r="H202">
        <v>20</v>
      </c>
      <c r="I202">
        <f>=MAX(30,ROUND(($F202*$G202+$H202)/5,0)*5)</f>
        <v>30</v>
      </c>
      <c r="J202">
        <v>399</v>
      </c>
      <c r="K202">
        <v>399</v>
      </c>
      <c r="L202">
        <v>88</v>
      </c>
    </row>
    <row r="203" spans="1:12" x14ac:dyDescent="0.25">
      <c r="A203" t="s">
        <v>704</v>
      </c>
      <c r="B203" t="s">
        <v>13</v>
      </c>
      <c r="C203" t="s">
        <v>121</v>
      </c>
      <c r="D203" t="s">
        <v>705</v>
      </c>
      <c r="E203" t="s">
        <v>706</v>
      </c>
      <c r="F203">
        <v>1</v>
      </c>
      <c r="G203">
        <v>22</v>
      </c>
      <c r="H203">
        <v>20</v>
      </c>
      <c r="I203">
        <f>=MAX(30,ROUND(($F203*$G203+$H203)/5,0)*5)</f>
        <v>40</v>
      </c>
      <c r="J203">
        <v>99</v>
      </c>
      <c r="K203">
        <v>109</v>
      </c>
      <c r="L203">
        <v>24</v>
      </c>
    </row>
    <row r="204" spans="1:12" x14ac:dyDescent="0.25">
      <c r="A204" t="s">
        <v>707</v>
      </c>
      <c r="B204" t="s">
        <v>26</v>
      </c>
      <c r="C204" t="s">
        <v>93</v>
      </c>
      <c r="D204" t="s">
        <v>708</v>
      </c>
      <c r="E204" t="s">
        <v>709</v>
      </c>
      <c r="F204" t="s">
        <v>20</v>
      </c>
      <c r="G204">
        <v>0</v>
      </c>
      <c r="H204">
        <v>200</v>
      </c>
      <c r="I204">
        <f>=MAX(30,ROUND(($F204*$G204+$H204)/5,0)*5)</f>
        <v>200</v>
      </c>
      <c r="J204">
        <v>499</v>
      </c>
      <c r="K204">
        <v>499</v>
      </c>
      <c r="L204">
        <v>110</v>
      </c>
    </row>
    <row r="205" spans="1:12" x14ac:dyDescent="0.25">
      <c r="A205" t="s">
        <v>710</v>
      </c>
      <c r="B205" t="s">
        <v>26</v>
      </c>
      <c r="C205" t="s">
        <v>93</v>
      </c>
      <c r="D205" t="s">
        <v>711</v>
      </c>
      <c r="E205" t="s">
        <v>712</v>
      </c>
      <c r="F205" t="s">
        <v>20</v>
      </c>
      <c r="G205">
        <v>0</v>
      </c>
      <c r="H205">
        <v>200</v>
      </c>
      <c r="I205">
        <f>=MAX(30,ROUND(($F205*$G205+$H205)/5,0)*5)</f>
        <v>200</v>
      </c>
    </row>
    <row r="206" spans="1:12" x14ac:dyDescent="0.25">
      <c r="A206" t="s">
        <v>713</v>
      </c>
      <c r="B206" t="s">
        <v>13</v>
      </c>
      <c r="C206" t="s">
        <v>22</v>
      </c>
      <c r="D206" t="s">
        <v>714</v>
      </c>
      <c r="E206" t="s">
        <v>715</v>
      </c>
      <c r="F206">
        <v>7</v>
      </c>
      <c r="G206">
        <v>22</v>
      </c>
      <c r="H206">
        <v>20</v>
      </c>
      <c r="I206">
        <f>=MAX(30,ROUND(($F206*$G206+$H206)/5,0)*5)</f>
        <v>175</v>
      </c>
    </row>
    <row r="207" spans="1:12" x14ac:dyDescent="0.25">
      <c r="A207" t="s">
        <v>716</v>
      </c>
      <c r="B207" t="s">
        <v>13</v>
      </c>
      <c r="C207" t="s">
        <v>93</v>
      </c>
      <c r="D207" t="s">
        <v>717</v>
      </c>
      <c r="E207" t="s">
        <v>718</v>
      </c>
      <c r="F207" t="s">
        <v>20</v>
      </c>
      <c r="G207">
        <v>22</v>
      </c>
      <c r="H207">
        <v>20</v>
      </c>
      <c r="I207">
        <f>=MAX(30,ROUND(($F207*$G207+$H207)/5,0)*5)</f>
        <v>30</v>
      </c>
    </row>
    <row r="208" spans="1:12" x14ac:dyDescent="0.25">
      <c r="A208" t="s">
        <v>719</v>
      </c>
      <c r="B208" t="s">
        <v>13</v>
      </c>
      <c r="C208" t="s">
        <v>93</v>
      </c>
      <c r="D208" t="s">
        <v>720</v>
      </c>
      <c r="E208" t="s">
        <v>721</v>
      </c>
      <c r="F208">
        <v>30</v>
      </c>
      <c r="G208">
        <v>22</v>
      </c>
      <c r="H208">
        <v>20</v>
      </c>
      <c r="I208">
        <f>=MAX(30,ROUND(($F208*$G208+$H208)/5,0)*5)</f>
        <v>680</v>
      </c>
    </row>
    <row r="209" spans="1:12" x14ac:dyDescent="0.25">
      <c r="A209" t="s">
        <v>722</v>
      </c>
      <c r="B209" t="s">
        <v>35</v>
      </c>
      <c r="C209" t="s">
        <v>723</v>
      </c>
      <c r="D209" t="s">
        <v>724</v>
      </c>
      <c r="E209" t="s">
        <v>725</v>
      </c>
      <c r="F209" t="s">
        <v>20</v>
      </c>
      <c r="G209">
        <v>0</v>
      </c>
      <c r="H209">
        <v>150</v>
      </c>
      <c r="I209">
        <f>=MAX(30,ROUND(($F209*$G209+$H209)/5,0)*5)</f>
        <v>150</v>
      </c>
      <c r="J209">
        <v>1999</v>
      </c>
      <c r="K209">
        <v>1999</v>
      </c>
      <c r="L209">
        <v>440</v>
      </c>
    </row>
    <row r="210" spans="1:12" x14ac:dyDescent="0.25">
      <c r="A210" t="s">
        <v>726</v>
      </c>
      <c r="B210" t="s">
        <v>35</v>
      </c>
      <c r="C210" t="s">
        <v>299</v>
      </c>
      <c r="D210" t="s">
        <v>727</v>
      </c>
      <c r="E210" t="s">
        <v>728</v>
      </c>
      <c r="F210" t="s">
        <v>20</v>
      </c>
      <c r="G210">
        <v>0</v>
      </c>
      <c r="H210">
        <v>150</v>
      </c>
      <c r="I210">
        <f>=MAX(30,ROUND(($F210*$G210+$H210)/5,0)*5)</f>
        <v>150</v>
      </c>
      <c r="J210">
        <v>299</v>
      </c>
      <c r="K210">
        <v>299</v>
      </c>
      <c r="L210">
        <v>66</v>
      </c>
    </row>
    <row r="211" spans="1:12" x14ac:dyDescent="0.25">
      <c r="A211" t="s">
        <v>729</v>
      </c>
      <c r="B211" t="s">
        <v>26</v>
      </c>
      <c r="C211" t="s">
        <v>101</v>
      </c>
      <c r="D211" t="s">
        <v>730</v>
      </c>
      <c r="E211" t="s">
        <v>731</v>
      </c>
      <c r="F211" t="s">
        <v>20</v>
      </c>
      <c r="G211">
        <v>0</v>
      </c>
      <c r="H211">
        <v>200</v>
      </c>
      <c r="I211">
        <f>=MAX(30,ROUND(($F211*$G211+$H211)/5,0)*5)</f>
        <v>200</v>
      </c>
      <c r="J211">
        <v>699</v>
      </c>
      <c r="K211">
        <v>769</v>
      </c>
      <c r="L211">
        <v>169</v>
      </c>
    </row>
    <row r="212" spans="1:12" x14ac:dyDescent="0.25">
      <c r="A212" t="s">
        <v>732</v>
      </c>
      <c r="B212" t="s">
        <v>26</v>
      </c>
      <c r="C212" t="s">
        <v>733</v>
      </c>
      <c r="D212" t="s">
        <v>734</v>
      </c>
      <c r="E212" t="s">
        <v>735</v>
      </c>
      <c r="F212" t="s">
        <v>20</v>
      </c>
      <c r="G212">
        <v>0</v>
      </c>
      <c r="H212">
        <v>200</v>
      </c>
      <c r="I212">
        <f>=MAX(30,ROUND(($F212*$G212+$H212)/5,0)*5)</f>
        <v>200</v>
      </c>
      <c r="J212">
        <v>431</v>
      </c>
      <c r="K212">
        <v>431</v>
      </c>
      <c r="L212">
        <v>95</v>
      </c>
    </row>
    <row r="213" spans="1:12" x14ac:dyDescent="0.25">
      <c r="A213" t="s">
        <v>736</v>
      </c>
      <c r="B213" t="s">
        <v>26</v>
      </c>
      <c r="C213" t="s">
        <v>676</v>
      </c>
      <c r="D213" t="s">
        <v>737</v>
      </c>
      <c r="E213" t="s">
        <v>738</v>
      </c>
      <c r="F213" t="s">
        <v>20</v>
      </c>
      <c r="G213">
        <v>0</v>
      </c>
      <c r="H213">
        <v>200</v>
      </c>
      <c r="I213">
        <f>=MAX(30,ROUND(($F213*$G213+$H213)/5,0)*5)</f>
        <v>200</v>
      </c>
      <c r="J213">
        <v>699</v>
      </c>
      <c r="K213">
        <v>699</v>
      </c>
      <c r="L213">
        <v>154</v>
      </c>
    </row>
    <row r="214" spans="1:12" x14ac:dyDescent="0.25">
      <c r="A214" t="s">
        <v>739</v>
      </c>
      <c r="B214" t="s">
        <v>35</v>
      </c>
      <c r="C214" t="s">
        <v>740</v>
      </c>
      <c r="D214" t="s">
        <v>741</v>
      </c>
      <c r="E214" t="s">
        <v>742</v>
      </c>
      <c r="F214" t="s">
        <v>20</v>
      </c>
      <c r="G214">
        <v>0</v>
      </c>
      <c r="H214">
        <v>150</v>
      </c>
      <c r="I214">
        <f>=MAX(30,ROUND(($F214*$G214+$H214)/5,0)*5)</f>
        <v>150</v>
      </c>
      <c r="J214">
        <v>499</v>
      </c>
      <c r="K214">
        <v>499</v>
      </c>
      <c r="L214">
        <v>110</v>
      </c>
    </row>
    <row r="215" spans="1:12" x14ac:dyDescent="0.25">
      <c r="A215" t="s">
        <v>743</v>
      </c>
      <c r="B215" t="s">
        <v>55</v>
      </c>
      <c r="C215" t="s">
        <v>632</v>
      </c>
      <c r="D215" t="s">
        <v>744</v>
      </c>
      <c r="E215" t="s">
        <v>745</v>
      </c>
      <c r="F215" t="s">
        <v>20</v>
      </c>
      <c r="G215">
        <v>0</v>
      </c>
      <c r="H215">
        <v>260</v>
      </c>
      <c r="I215">
        <f>=MAX(30,ROUND(($F215*$G215+$H215)/5,0)*5)</f>
        <v>260</v>
      </c>
      <c r="J215">
        <v>299</v>
      </c>
      <c r="K215">
        <v>329</v>
      </c>
      <c r="L215">
        <v>72</v>
      </c>
    </row>
    <row r="216" spans="1:12" x14ac:dyDescent="0.25">
      <c r="A216" t="s">
        <v>746</v>
      </c>
      <c r="B216" t="s">
        <v>55</v>
      </c>
      <c r="C216" t="s">
        <v>78</v>
      </c>
      <c r="D216" t="s">
        <v>747</v>
      </c>
      <c r="E216" t="s">
        <v>748</v>
      </c>
      <c r="F216" t="s">
        <v>20</v>
      </c>
      <c r="G216">
        <v>0</v>
      </c>
      <c r="H216">
        <v>260</v>
      </c>
      <c r="I216">
        <f>=MAX(30,ROUND(($F216*$G216+$H216)/5,0)*5)</f>
        <v>260</v>
      </c>
      <c r="J216">
        <v>999</v>
      </c>
      <c r="K216">
        <v>1099</v>
      </c>
      <c r="L216">
        <v>242</v>
      </c>
    </row>
    <row r="217" spans="1:12" x14ac:dyDescent="0.25">
      <c r="A217" t="s">
        <v>749</v>
      </c>
      <c r="B217" t="s">
        <v>26</v>
      </c>
      <c r="C217" t="s">
        <v>93</v>
      </c>
      <c r="D217" t="s">
        <v>750</v>
      </c>
      <c r="E217" t="s">
        <v>750</v>
      </c>
      <c r="F217" t="s">
        <v>20</v>
      </c>
      <c r="G217">
        <v>0</v>
      </c>
      <c r="H217">
        <v>200</v>
      </c>
      <c r="I217">
        <f>=MAX(30,ROUND(($F217*$G217+$H217)/5,0)*5)</f>
        <v>200</v>
      </c>
      <c r="J217">
        <v>598</v>
      </c>
      <c r="K217">
        <v>598</v>
      </c>
      <c r="L217">
        <v>132</v>
      </c>
    </row>
    <row r="218" spans="1:12" x14ac:dyDescent="0.25">
      <c r="A218" t="s">
        <v>751</v>
      </c>
      <c r="B218" t="s">
        <v>13</v>
      </c>
      <c r="C218" t="s">
        <v>132</v>
      </c>
      <c r="D218" t="s">
        <v>752</v>
      </c>
      <c r="E218" t="s">
        <v>753</v>
      </c>
      <c r="F218" t="s">
        <v>20</v>
      </c>
      <c r="G218">
        <v>22</v>
      </c>
      <c r="H218">
        <v>20</v>
      </c>
      <c r="I218">
        <f>=MAX(30,ROUND(($F218*$G218+$H218)/5,0)*5)</f>
        <v>30</v>
      </c>
      <c r="J218">
        <v>499</v>
      </c>
      <c r="K218">
        <v>549</v>
      </c>
      <c r="L218">
        <v>121</v>
      </c>
    </row>
    <row r="219" spans="1:12" x14ac:dyDescent="0.25">
      <c r="A219" t="s">
        <v>754</v>
      </c>
      <c r="B219" t="s">
        <v>26</v>
      </c>
      <c r="C219" t="s">
        <v>755</v>
      </c>
      <c r="D219" t="s">
        <v>756</v>
      </c>
      <c r="E219" t="s">
        <v>757</v>
      </c>
      <c r="F219">
        <v>30</v>
      </c>
      <c r="G219">
        <v>0</v>
      </c>
      <c r="H219">
        <v>200</v>
      </c>
      <c r="I219">
        <f>=MAX(30,ROUND(($F219*$G219+$H219)/5,0)*5)</f>
        <v>680</v>
      </c>
      <c r="J219">
        <v>1599</v>
      </c>
      <c r="K219">
        <v>1599</v>
      </c>
      <c r="L219">
        <v>352</v>
      </c>
    </row>
    <row r="220" spans="1:12" x14ac:dyDescent="0.25">
      <c r="A220" t="s">
        <v>758</v>
      </c>
      <c r="B220" t="s">
        <v>105</v>
      </c>
      <c r="C220" t="s">
        <v>545</v>
      </c>
      <c r="D220" t="s">
        <v>759</v>
      </c>
      <c r="E220" t="s">
        <v>760</v>
      </c>
      <c r="F220">
        <v>60</v>
      </c>
      <c r="G220">
        <v>8</v>
      </c>
      <c r="H220">
        <v>18</v>
      </c>
      <c r="I220">
        <f>=MAX(30,ROUND(($F220*$G220+$H220)/5,0)*5)</f>
        <v>500</v>
      </c>
      <c r="J220">
        <v>599</v>
      </c>
      <c r="K220">
        <v>599</v>
      </c>
      <c r="L220">
        <v>132</v>
      </c>
    </row>
    <row r="221" spans="1:12" x14ac:dyDescent="0.25">
      <c r="A221" t="s">
        <v>761</v>
      </c>
      <c r="B221" t="s">
        <v>26</v>
      </c>
      <c r="C221" t="s">
        <v>222</v>
      </c>
      <c r="D221" t="s">
        <v>762</v>
      </c>
      <c r="E221" t="s">
        <v>763</v>
      </c>
      <c r="F221" t="s">
        <v>20</v>
      </c>
      <c r="G221">
        <v>0</v>
      </c>
      <c r="H221">
        <v>200</v>
      </c>
      <c r="I221">
        <f>=MAX(30,ROUND(($F221*$G221+$H221)/5,0)*5)</f>
        <v>200</v>
      </c>
      <c r="J221">
        <v>299</v>
      </c>
      <c r="K221">
        <v>329</v>
      </c>
      <c r="L221">
        <v>72</v>
      </c>
    </row>
    <row r="222" spans="1:12" x14ac:dyDescent="0.25">
      <c r="A222" t="s">
        <v>764</v>
      </c>
      <c r="B222" t="s">
        <v>13</v>
      </c>
      <c r="C222" t="s">
        <v>93</v>
      </c>
      <c r="D222" t="s">
        <v>765</v>
      </c>
      <c r="E222" t="s">
        <v>766</v>
      </c>
      <c r="F222">
        <v>30</v>
      </c>
      <c r="G222">
        <v>22</v>
      </c>
      <c r="H222">
        <v>20</v>
      </c>
      <c r="I222">
        <f>=MAX(30,ROUND(($F222*$G222+$H222)/5,0)*5)</f>
        <v>680</v>
      </c>
      <c r="J222">
        <v>399</v>
      </c>
      <c r="K222">
        <v>399</v>
      </c>
      <c r="L222">
        <v>88</v>
      </c>
    </row>
    <row r="223" spans="1:12" x14ac:dyDescent="0.25">
      <c r="A223" t="s">
        <v>767</v>
      </c>
      <c r="B223" t="s">
        <v>13</v>
      </c>
      <c r="C223" t="s">
        <v>43</v>
      </c>
      <c r="D223" t="s">
        <v>768</v>
      </c>
      <c r="E223" t="s">
        <v>769</v>
      </c>
      <c r="F223" t="s">
        <v>20</v>
      </c>
      <c r="G223">
        <v>22</v>
      </c>
      <c r="H223">
        <v>20</v>
      </c>
      <c r="I223">
        <f>=MAX(30,ROUND(($F223*$G223+$H223)/5,0)*5)</f>
        <v>30</v>
      </c>
    </row>
    <row r="224" spans="1:12" x14ac:dyDescent="0.25">
      <c r="A224" t="s">
        <v>770</v>
      </c>
      <c r="B224" t="s">
        <v>13</v>
      </c>
      <c r="C224" t="s">
        <v>205</v>
      </c>
      <c r="D224" t="s">
        <v>771</v>
      </c>
      <c r="E224" t="s">
        <v>772</v>
      </c>
      <c r="F224">
        <v>31</v>
      </c>
      <c r="G224">
        <v>22</v>
      </c>
      <c r="H224">
        <v>20</v>
      </c>
      <c r="I224">
        <f>=MAX(30,ROUND(($F224*$G224+$H224)/5,0)*5)</f>
        <v>700</v>
      </c>
      <c r="J224">
        <v>499</v>
      </c>
      <c r="K224">
        <v>549</v>
      </c>
      <c r="L224">
        <v>121</v>
      </c>
    </row>
    <row r="225" spans="1:12" x14ac:dyDescent="0.25">
      <c r="A225" t="s">
        <v>773</v>
      </c>
      <c r="B225" t="s">
        <v>26</v>
      </c>
      <c r="C225" t="s">
        <v>774</v>
      </c>
      <c r="D225" t="s">
        <v>775</v>
      </c>
      <c r="E225" t="s">
        <v>776</v>
      </c>
      <c r="F225">
        <v>7</v>
      </c>
      <c r="G225">
        <v>0</v>
      </c>
      <c r="H225">
        <v>200</v>
      </c>
      <c r="I225">
        <f>=MAX(30,ROUND(($F225*$G225+$H225)/5,0)*5)</f>
        <v>200</v>
      </c>
      <c r="J225">
        <v>99</v>
      </c>
      <c r="K225">
        <v>109</v>
      </c>
      <c r="L225">
        <v>24</v>
      </c>
    </row>
    <row r="226" spans="1:12" x14ac:dyDescent="0.25">
      <c r="A226" t="s">
        <v>777</v>
      </c>
      <c r="B226" t="s">
        <v>26</v>
      </c>
      <c r="C226" t="s">
        <v>93</v>
      </c>
      <c r="D226" t="s">
        <v>778</v>
      </c>
      <c r="E226" t="s">
        <v>779</v>
      </c>
      <c r="F226" t="s">
        <v>20</v>
      </c>
      <c r="G226">
        <v>0</v>
      </c>
      <c r="H226">
        <v>200</v>
      </c>
      <c r="I226">
        <f>=MAX(30,ROUND(($F226*$G226+$H226)/5,0)*5)</f>
        <v>200</v>
      </c>
      <c r="J226">
        <v>119</v>
      </c>
      <c r="K226">
        <v>131</v>
      </c>
      <c r="L226">
        <v>29</v>
      </c>
    </row>
    <row r="227" spans="1:12" x14ac:dyDescent="0.25">
      <c r="A227" t="s">
        <v>780</v>
      </c>
      <c r="B227" t="s">
        <v>13</v>
      </c>
      <c r="C227" t="s">
        <v>93</v>
      </c>
      <c r="D227" t="s">
        <v>781</v>
      </c>
      <c r="E227" t="s">
        <v>782</v>
      </c>
      <c r="F227">
        <v>43</v>
      </c>
      <c r="G227">
        <v>22</v>
      </c>
      <c r="H227">
        <v>20</v>
      </c>
      <c r="I227">
        <f>=MAX(30,ROUND(($F227*$G227+$H227)/5,0)*5)</f>
        <v>965</v>
      </c>
    </row>
    <row r="228" spans="1:12" x14ac:dyDescent="0.25">
      <c r="A228" t="s">
        <v>783</v>
      </c>
      <c r="B228" t="s">
        <v>26</v>
      </c>
      <c r="C228" t="s">
        <v>784</v>
      </c>
      <c r="D228" t="s">
        <v>785</v>
      </c>
      <c r="E228" t="s">
        <v>786</v>
      </c>
      <c r="F228" t="s">
        <v>20</v>
      </c>
      <c r="G228">
        <v>0</v>
      </c>
      <c r="H228">
        <v>200</v>
      </c>
      <c r="I228">
        <f>=MAX(30,ROUND(($F228*$G228+$H228)/5,0)*5)</f>
        <v>200</v>
      </c>
      <c r="J228">
        <v>999</v>
      </c>
      <c r="K228">
        <v>999</v>
      </c>
      <c r="L228">
        <v>220</v>
      </c>
    </row>
    <row r="229" spans="1:12" x14ac:dyDescent="0.25">
      <c r="A229" t="s">
        <v>787</v>
      </c>
      <c r="B229" t="s">
        <v>13</v>
      </c>
      <c r="C229" t="s">
        <v>545</v>
      </c>
      <c r="D229" t="s">
        <v>788</v>
      </c>
      <c r="E229" t="s">
        <v>789</v>
      </c>
      <c r="F229" t="s">
        <v>20</v>
      </c>
      <c r="G229">
        <v>22</v>
      </c>
      <c r="H229">
        <v>20</v>
      </c>
      <c r="I229">
        <f>=MAX(30,ROUND(($F229*$G229+$H229)/5,0)*5)</f>
        <v>30</v>
      </c>
      <c r="J229">
        <v>499</v>
      </c>
      <c r="K229">
        <v>549</v>
      </c>
      <c r="L229">
        <v>121</v>
      </c>
    </row>
    <row r="230" spans="1:12" x14ac:dyDescent="0.25">
      <c r="A230" t="s">
        <v>790</v>
      </c>
      <c r="B230" t="s">
        <v>13</v>
      </c>
      <c r="C230" t="s">
        <v>426</v>
      </c>
      <c r="D230" t="s">
        <v>791</v>
      </c>
      <c r="E230" t="s">
        <v>792</v>
      </c>
      <c r="F230" t="s">
        <v>20</v>
      </c>
      <c r="G230">
        <v>22</v>
      </c>
      <c r="H230">
        <v>20</v>
      </c>
      <c r="I230">
        <f>=MAX(30,ROUND(($F230*$G230+$H230)/5,0)*5)</f>
        <v>30</v>
      </c>
    </row>
    <row r="231" spans="1:12" x14ac:dyDescent="0.25">
      <c r="A231" t="s">
        <v>793</v>
      </c>
      <c r="B231" t="s">
        <v>26</v>
      </c>
      <c r="C231" t="s">
        <v>415</v>
      </c>
      <c r="D231" t="s">
        <v>794</v>
      </c>
      <c r="E231" t="s">
        <v>795</v>
      </c>
      <c r="F231" t="s">
        <v>20</v>
      </c>
      <c r="G231">
        <v>0</v>
      </c>
      <c r="H231">
        <v>200</v>
      </c>
      <c r="I231">
        <f>=MAX(30,ROUND(($F231*$G231+$H231)/5,0)*5)</f>
        <v>200</v>
      </c>
    </row>
    <row r="232" spans="1:12" x14ac:dyDescent="0.25">
      <c r="A232" t="s">
        <v>796</v>
      </c>
      <c r="B232" t="s">
        <v>26</v>
      </c>
      <c r="C232" t="s">
        <v>797</v>
      </c>
      <c r="D232" t="s">
        <v>798</v>
      </c>
      <c r="E232" t="s">
        <v>799</v>
      </c>
      <c r="F232" t="s">
        <v>20</v>
      </c>
      <c r="G232">
        <v>0</v>
      </c>
      <c r="H232">
        <v>200</v>
      </c>
      <c r="I232">
        <f>=MAX(30,ROUND(($F232*$G232+$H232)/5,0)*5)</f>
        <v>200</v>
      </c>
      <c r="J232">
        <v>29</v>
      </c>
      <c r="K232">
        <v>29</v>
      </c>
      <c r="L232">
        <v>6</v>
      </c>
    </row>
    <row r="233" spans="1:12" x14ac:dyDescent="0.25">
      <c r="A233" t="s">
        <v>800</v>
      </c>
      <c r="B233" t="s">
        <v>105</v>
      </c>
      <c r="C233" t="s">
        <v>205</v>
      </c>
      <c r="D233" t="s">
        <v>801</v>
      </c>
      <c r="E233" t="s">
        <v>802</v>
      </c>
      <c r="F233" t="s">
        <v>20</v>
      </c>
      <c r="G233">
        <v>8</v>
      </c>
      <c r="H233">
        <v>18</v>
      </c>
      <c r="I233">
        <f>=MAX(30,ROUND(($F233*$G233+$H233)/5,0)*5)</f>
        <v>30</v>
      </c>
      <c r="J233">
        <v>699</v>
      </c>
      <c r="K233">
        <v>769</v>
      </c>
      <c r="L233">
        <v>169</v>
      </c>
    </row>
    <row r="234" spans="1:12" x14ac:dyDescent="0.25">
      <c r="A234" t="s">
        <v>803</v>
      </c>
      <c r="B234" t="s">
        <v>105</v>
      </c>
      <c r="C234" t="s">
        <v>545</v>
      </c>
      <c r="D234" t="s">
        <v>804</v>
      </c>
      <c r="E234" t="s">
        <v>687</v>
      </c>
      <c r="F234">
        <v>60</v>
      </c>
      <c r="G234">
        <v>8</v>
      </c>
      <c r="H234">
        <v>18</v>
      </c>
      <c r="I234">
        <f>=MAX(30,ROUND(($F234*$G234+$H234)/5,0)*5)</f>
        <v>500</v>
      </c>
      <c r="J234">
        <v>499</v>
      </c>
      <c r="K234">
        <v>499</v>
      </c>
      <c r="L234">
        <v>110</v>
      </c>
    </row>
    <row r="235" spans="1:12" x14ac:dyDescent="0.25">
      <c r="A235" t="s">
        <v>805</v>
      </c>
      <c r="B235" t="s">
        <v>26</v>
      </c>
      <c r="C235" t="s">
        <v>381</v>
      </c>
      <c r="D235" t="s">
        <v>806</v>
      </c>
      <c r="E235" t="s">
        <v>807</v>
      </c>
      <c r="F235" t="s">
        <v>20</v>
      </c>
      <c r="G235">
        <v>0</v>
      </c>
      <c r="H235">
        <v>200</v>
      </c>
      <c r="I235">
        <f>=MAX(30,ROUND(($F235*$G235+$H235)/5,0)*5)</f>
        <v>200</v>
      </c>
    </row>
    <row r="236" spans="1:12" x14ac:dyDescent="0.25">
      <c r="A236" t="s">
        <v>808</v>
      </c>
      <c r="B236" t="s">
        <v>26</v>
      </c>
      <c r="C236" t="s">
        <v>93</v>
      </c>
      <c r="D236" t="s">
        <v>809</v>
      </c>
      <c r="E236" t="s">
        <v>810</v>
      </c>
      <c r="F236" t="s">
        <v>20</v>
      </c>
      <c r="G236">
        <v>0</v>
      </c>
      <c r="H236">
        <v>200</v>
      </c>
      <c r="I236">
        <f>=MAX(30,ROUND(($F236*$G236+$H236)/5,0)*5)</f>
        <v>200</v>
      </c>
      <c r="J236">
        <v>999</v>
      </c>
      <c r="K236">
        <v>1099</v>
      </c>
      <c r="L236">
        <v>242</v>
      </c>
    </row>
    <row r="237" spans="1:12" x14ac:dyDescent="0.25">
      <c r="A237" t="s">
        <v>811</v>
      </c>
      <c r="B237" t="s">
        <v>26</v>
      </c>
      <c r="C237" t="s">
        <v>36</v>
      </c>
      <c r="D237" t="s">
        <v>812</v>
      </c>
      <c r="E237" t="s">
        <v>813</v>
      </c>
      <c r="F237" t="s">
        <v>20</v>
      </c>
      <c r="G237">
        <v>0</v>
      </c>
      <c r="H237">
        <v>200</v>
      </c>
      <c r="I237">
        <f>=MAX(30,ROUND(($F237*$G237+$H237)/5,0)*5)</f>
        <v>200</v>
      </c>
      <c r="J237">
        <v>2486</v>
      </c>
      <c r="K237">
        <v>2486</v>
      </c>
      <c r="L237">
        <v>547</v>
      </c>
    </row>
    <row r="238" spans="1:12" x14ac:dyDescent="0.25">
      <c r="A238" t="s">
        <v>814</v>
      </c>
      <c r="B238" t="s">
        <v>26</v>
      </c>
      <c r="C238" t="s">
        <v>222</v>
      </c>
      <c r="D238" t="s">
        <v>815</v>
      </c>
      <c r="E238" t="s">
        <v>816</v>
      </c>
      <c r="F238" t="s">
        <v>20</v>
      </c>
      <c r="G238">
        <v>0</v>
      </c>
      <c r="H238">
        <v>200</v>
      </c>
      <c r="I238">
        <f>=MAX(30,ROUND(($F238*$G238+$H238)/5,0)*5)</f>
        <v>200</v>
      </c>
      <c r="J238">
        <v>299</v>
      </c>
      <c r="K238">
        <v>329</v>
      </c>
      <c r="L238">
        <v>72</v>
      </c>
    </row>
    <row r="239" spans="1:12" x14ac:dyDescent="0.25">
      <c r="A239" t="s">
        <v>817</v>
      </c>
      <c r="B239" t="s">
        <v>55</v>
      </c>
      <c r="C239" t="s">
        <v>144</v>
      </c>
      <c r="D239" t="s">
        <v>818</v>
      </c>
      <c r="E239" t="s">
        <v>819</v>
      </c>
      <c r="F239" t="s">
        <v>20</v>
      </c>
      <c r="G239">
        <v>0</v>
      </c>
      <c r="H239">
        <v>260</v>
      </c>
      <c r="I239">
        <f>=MAX(30,ROUND(($F239*$G239+$H239)/5,0)*5)</f>
        <v>260</v>
      </c>
      <c r="J239">
        <v>499</v>
      </c>
      <c r="K239">
        <v>499</v>
      </c>
      <c r="L239">
        <v>110</v>
      </c>
    </row>
    <row r="240" spans="1:12" x14ac:dyDescent="0.25">
      <c r="A240" t="s">
        <v>820</v>
      </c>
      <c r="B240" t="s">
        <v>13</v>
      </c>
      <c r="C240" t="s">
        <v>121</v>
      </c>
      <c r="D240" t="s">
        <v>821</v>
      </c>
      <c r="E240" t="s">
        <v>822</v>
      </c>
      <c r="F240">
        <v>1</v>
      </c>
      <c r="G240">
        <v>22</v>
      </c>
      <c r="H240">
        <v>20</v>
      </c>
      <c r="I240">
        <f>=MAX(30,ROUND(($F240*$G240+$H240)/5,0)*5)</f>
        <v>40</v>
      </c>
      <c r="J240">
        <v>99</v>
      </c>
      <c r="K240">
        <v>109</v>
      </c>
      <c r="L240">
        <v>24</v>
      </c>
    </row>
    <row r="241" spans="1:12" x14ac:dyDescent="0.25">
      <c r="A241" t="s">
        <v>823</v>
      </c>
      <c r="B241" t="s">
        <v>13</v>
      </c>
      <c r="C241" t="s">
        <v>121</v>
      </c>
      <c r="D241" t="s">
        <v>824</v>
      </c>
      <c r="E241" t="s">
        <v>825</v>
      </c>
      <c r="F241">
        <v>1</v>
      </c>
      <c r="G241">
        <v>22</v>
      </c>
      <c r="H241">
        <v>20</v>
      </c>
      <c r="I241">
        <f>=MAX(30,ROUND(($F241*$G241+$H241)/5,0)*5)</f>
        <v>40</v>
      </c>
      <c r="J241">
        <v>99</v>
      </c>
      <c r="K241">
        <v>109</v>
      </c>
      <c r="L241">
        <v>24</v>
      </c>
    </row>
    <row r="242" spans="1:12" x14ac:dyDescent="0.25">
      <c r="A242" t="s">
        <v>826</v>
      </c>
      <c r="B242" t="s">
        <v>13</v>
      </c>
      <c r="C242" t="s">
        <v>121</v>
      </c>
      <c r="D242" t="s">
        <v>827</v>
      </c>
      <c r="E242" t="s">
        <v>828</v>
      </c>
      <c r="F242">
        <v>1</v>
      </c>
      <c r="G242">
        <v>22</v>
      </c>
      <c r="H242">
        <v>20</v>
      </c>
      <c r="I242">
        <f>=MAX(30,ROUND(($F242*$G242+$H242)/5,0)*5)</f>
        <v>40</v>
      </c>
      <c r="J242">
        <v>99</v>
      </c>
      <c r="K242">
        <v>109</v>
      </c>
      <c r="L242">
        <v>24</v>
      </c>
    </row>
    <row r="243" spans="1:12" x14ac:dyDescent="0.25">
      <c r="A243" t="s">
        <v>829</v>
      </c>
      <c r="B243" t="s">
        <v>26</v>
      </c>
      <c r="C243" t="s">
        <v>415</v>
      </c>
      <c r="D243" t="s">
        <v>830</v>
      </c>
      <c r="E243" t="s">
        <v>831</v>
      </c>
      <c r="F243">
        <v>4</v>
      </c>
      <c r="G243">
        <v>0</v>
      </c>
      <c r="H243">
        <v>200</v>
      </c>
      <c r="I243">
        <f>=MAX(30,ROUND(($F243*$G243+$H243)/5,0)*5)</f>
        <v>200</v>
      </c>
      <c r="J243">
        <v>3672</v>
      </c>
      <c r="K243">
        <v>3672</v>
      </c>
      <c r="L243">
        <v>808</v>
      </c>
    </row>
    <row r="244" spans="1:12" x14ac:dyDescent="0.25">
      <c r="A244" t="s">
        <v>832</v>
      </c>
      <c r="B244" t="s">
        <v>26</v>
      </c>
      <c r="C244" t="s">
        <v>97</v>
      </c>
      <c r="D244" t="s">
        <v>833</v>
      </c>
      <c r="E244" t="s">
        <v>834</v>
      </c>
      <c r="F244" t="s">
        <v>20</v>
      </c>
      <c r="G244">
        <v>0</v>
      </c>
      <c r="H244">
        <v>200</v>
      </c>
      <c r="I244">
        <f>=MAX(30,ROUND(($F244*$G244+$H244)/5,0)*5)</f>
        <v>200</v>
      </c>
    </row>
    <row r="245" spans="1:12" x14ac:dyDescent="0.25">
      <c r="A245" t="s">
        <v>835</v>
      </c>
      <c r="B245" t="s">
        <v>836</v>
      </c>
      <c r="C245" t="s">
        <v>398</v>
      </c>
      <c r="D245" t="s">
        <v>837</v>
      </c>
      <c r="E245" t="s">
        <v>838</v>
      </c>
      <c r="F245" t="s">
        <v>20</v>
      </c>
      <c r="G245">
        <v>0</v>
      </c>
      <c r="H245">
        <v>150</v>
      </c>
      <c r="I245">
        <f>=MAX(30,ROUND(($F245*$G245+$H245)/5,0)*5)</f>
        <v>150</v>
      </c>
      <c r="J245">
        <v>1000</v>
      </c>
      <c r="K245">
        <v>1100</v>
      </c>
      <c r="L245">
        <v>242</v>
      </c>
    </row>
    <row r="246" spans="1:12" x14ac:dyDescent="0.25">
      <c r="A246" t="s">
        <v>839</v>
      </c>
      <c r="B246" t="s">
        <v>26</v>
      </c>
      <c r="C246" t="s">
        <v>93</v>
      </c>
      <c r="D246" t="s">
        <v>840</v>
      </c>
      <c r="E246" t="s">
        <v>841</v>
      </c>
      <c r="F246" t="s">
        <v>20</v>
      </c>
      <c r="G246">
        <v>0</v>
      </c>
      <c r="H246">
        <v>200</v>
      </c>
      <c r="I246">
        <f>=MAX(30,ROUND(($F246*$G246+$H246)/5,0)*5)</f>
        <v>200</v>
      </c>
      <c r="J246">
        <v>499</v>
      </c>
      <c r="K246">
        <v>549</v>
      </c>
      <c r="L246">
        <v>121</v>
      </c>
    </row>
    <row r="247" spans="1:12" x14ac:dyDescent="0.25">
      <c r="A247" t="s">
        <v>842</v>
      </c>
      <c r="B247" t="s">
        <v>26</v>
      </c>
      <c r="C247" t="s">
        <v>843</v>
      </c>
      <c r="D247" t="s">
        <v>844</v>
      </c>
      <c r="E247" t="s">
        <v>845</v>
      </c>
      <c r="F247">
        <v>10</v>
      </c>
      <c r="G247">
        <v>0</v>
      </c>
      <c r="H247">
        <v>200</v>
      </c>
      <c r="I247">
        <f>=MAX(30,ROUND(($F247*$G247+$H247)/5,0)*5)</f>
        <v>240</v>
      </c>
      <c r="J247">
        <v>323</v>
      </c>
      <c r="K247">
        <v>323</v>
      </c>
      <c r="L247">
        <v>71</v>
      </c>
    </row>
    <row r="248" spans="1:12" x14ac:dyDescent="0.25">
      <c r="A248" t="s">
        <v>846</v>
      </c>
      <c r="B248" t="s">
        <v>26</v>
      </c>
      <c r="C248" t="s">
        <v>93</v>
      </c>
      <c r="D248" t="s">
        <v>847</v>
      </c>
      <c r="E248" t="s">
        <v>848</v>
      </c>
      <c r="F248">
        <v>1</v>
      </c>
      <c r="G248">
        <v>0</v>
      </c>
      <c r="H248">
        <v>200</v>
      </c>
      <c r="I248">
        <f>=MAX(30,ROUND(($F248*$G248+$H248)/5,0)*5)</f>
        <v>200</v>
      </c>
      <c r="J248">
        <v>299</v>
      </c>
      <c r="K248">
        <v>329</v>
      </c>
      <c r="L248">
        <v>72</v>
      </c>
    </row>
    <row r="249" spans="1:12" x14ac:dyDescent="0.25">
      <c r="A249" t="s">
        <v>849</v>
      </c>
      <c r="B249" t="s">
        <v>26</v>
      </c>
      <c r="C249" t="s">
        <v>93</v>
      </c>
      <c r="D249" t="s">
        <v>850</v>
      </c>
      <c r="E249" t="s">
        <v>851</v>
      </c>
      <c r="F249" t="s">
        <v>20</v>
      </c>
      <c r="G249">
        <v>0</v>
      </c>
      <c r="H249">
        <v>200</v>
      </c>
      <c r="I249">
        <f>=MAX(30,ROUND(($F249*$G249+$H249)/5,0)*5)</f>
        <v>200</v>
      </c>
      <c r="J249">
        <v>1300</v>
      </c>
      <c r="K249">
        <v>1430</v>
      </c>
      <c r="L249">
        <v>315</v>
      </c>
    </row>
    <row r="250" spans="1:12" x14ac:dyDescent="0.25">
      <c r="A250" t="s">
        <v>852</v>
      </c>
      <c r="B250" t="s">
        <v>13</v>
      </c>
      <c r="C250" t="s">
        <v>93</v>
      </c>
      <c r="D250" t="s">
        <v>853</v>
      </c>
      <c r="E250" t="s">
        <v>854</v>
      </c>
      <c r="F250" t="s">
        <v>20</v>
      </c>
      <c r="G250">
        <v>22</v>
      </c>
      <c r="H250">
        <v>20</v>
      </c>
      <c r="I250">
        <f>=MAX(30,ROUND(($F250*$G250+$H250)/5,0)*5)</f>
        <v>30</v>
      </c>
      <c r="J250">
        <v>1180</v>
      </c>
      <c r="K250">
        <v>1298</v>
      </c>
      <c r="L250">
        <v>286</v>
      </c>
    </row>
    <row r="251" spans="1:12" x14ac:dyDescent="0.25">
      <c r="A251" t="s">
        <v>855</v>
      </c>
      <c r="B251" t="s">
        <v>26</v>
      </c>
      <c r="C251" t="s">
        <v>93</v>
      </c>
      <c r="D251" t="s">
        <v>856</v>
      </c>
      <c r="E251" t="s">
        <v>857</v>
      </c>
      <c r="F251" t="s">
        <v>20</v>
      </c>
      <c r="G251">
        <v>0</v>
      </c>
      <c r="H251">
        <v>200</v>
      </c>
      <c r="I251">
        <f>=MAX(30,ROUND(($F251*$G251+$H251)/5,0)*5)</f>
        <v>200</v>
      </c>
      <c r="J251">
        <v>989</v>
      </c>
      <c r="K251">
        <v>989</v>
      </c>
      <c r="L251">
        <v>218</v>
      </c>
    </row>
    <row r="252" spans="1:12" x14ac:dyDescent="0.25">
      <c r="A252" t="s">
        <v>858</v>
      </c>
      <c r="B252" t="s">
        <v>55</v>
      </c>
      <c r="C252" t="s">
        <v>859</v>
      </c>
      <c r="D252" t="s">
        <v>860</v>
      </c>
      <c r="E252" t="s">
        <v>861</v>
      </c>
      <c r="F252" t="s">
        <v>20</v>
      </c>
      <c r="G252">
        <v>0</v>
      </c>
      <c r="H252">
        <v>260</v>
      </c>
      <c r="I252">
        <f>=MAX(30,ROUND(($F252*$G252+$H252)/5,0)*5)</f>
        <v>260</v>
      </c>
      <c r="J252">
        <v>299</v>
      </c>
      <c r="K252">
        <v>329</v>
      </c>
      <c r="L252">
        <v>72</v>
      </c>
    </row>
    <row r="253" spans="1:12" x14ac:dyDescent="0.25">
      <c r="A253" t="s">
        <v>862</v>
      </c>
      <c r="B253" t="s">
        <v>13</v>
      </c>
      <c r="C253" t="s">
        <v>93</v>
      </c>
      <c r="D253" t="s">
        <v>274</v>
      </c>
      <c r="E253" t="s">
        <v>863</v>
      </c>
      <c r="F253" t="s">
        <v>20</v>
      </c>
      <c r="G253">
        <v>22</v>
      </c>
      <c r="H253">
        <v>20</v>
      </c>
      <c r="I253">
        <f>=MAX(30,ROUND(($F253*$G253+$H253)/5,0)*5)</f>
        <v>30</v>
      </c>
    </row>
    <row r="254" spans="1:12" x14ac:dyDescent="0.25">
      <c r="A254" t="s">
        <v>864</v>
      </c>
      <c r="B254" t="s">
        <v>405</v>
      </c>
      <c r="C254" t="s">
        <v>865</v>
      </c>
      <c r="D254" t="s">
        <v>866</v>
      </c>
      <c r="E254" t="s">
        <v>866</v>
      </c>
      <c r="F254" t="s">
        <v>20</v>
      </c>
      <c r="G254">
        <v>0</v>
      </c>
      <c r="H254">
        <v>230</v>
      </c>
      <c r="I254">
        <f>=MAX(30,ROUND(($F254*$G254+$H254)/5,0)*5)</f>
        <v>230</v>
      </c>
      <c r="J254">
        <v>499</v>
      </c>
      <c r="K254">
        <v>499</v>
      </c>
      <c r="L254">
        <v>110</v>
      </c>
    </row>
    <row r="255" spans="1:12" x14ac:dyDescent="0.25">
      <c r="A255" t="s">
        <v>867</v>
      </c>
      <c r="B255" t="s">
        <v>26</v>
      </c>
      <c r="C255" t="s">
        <v>628</v>
      </c>
      <c r="D255" t="s">
        <v>628</v>
      </c>
      <c r="E255" t="s">
        <v>868</v>
      </c>
      <c r="F255" t="s">
        <v>20</v>
      </c>
      <c r="G255">
        <v>0</v>
      </c>
      <c r="H255">
        <v>200</v>
      </c>
      <c r="I255">
        <f>=MAX(30,ROUND(($F255*$G255+$H255)/5,0)*5)</f>
        <v>200</v>
      </c>
      <c r="J255">
        <v>1649</v>
      </c>
      <c r="K255">
        <v>1649</v>
      </c>
      <c r="L255">
        <v>363</v>
      </c>
    </row>
    <row r="256" spans="1:12" x14ac:dyDescent="0.25">
      <c r="A256" t="s">
        <v>869</v>
      </c>
      <c r="B256" t="s">
        <v>26</v>
      </c>
      <c r="C256" t="s">
        <v>148</v>
      </c>
      <c r="D256" t="s">
        <v>148</v>
      </c>
      <c r="E256" t="s">
        <v>20</v>
      </c>
      <c r="F256" t="s">
        <v>20</v>
      </c>
      <c r="G256">
        <v>0</v>
      </c>
      <c r="H256">
        <v>200</v>
      </c>
      <c r="I256">
        <f>=MAX(30,ROUND(($F256*$G256+$H256)/5,0)*5)</f>
        <v>200</v>
      </c>
    </row>
    <row r="257" spans="1:12" x14ac:dyDescent="0.25">
      <c r="A257" t="s">
        <v>870</v>
      </c>
      <c r="B257" t="s">
        <v>26</v>
      </c>
      <c r="C257" t="s">
        <v>93</v>
      </c>
      <c r="D257" t="s">
        <v>20</v>
      </c>
      <c r="E257" t="s">
        <v>20</v>
      </c>
      <c r="F257" t="s">
        <v>20</v>
      </c>
      <c r="G257">
        <v>0</v>
      </c>
      <c r="H257">
        <v>200</v>
      </c>
      <c r="I257">
        <f>=MAX(30,ROUND(($F257*$G257+$H257)/5,0)*5)</f>
        <v>200</v>
      </c>
      <c r="J257">
        <v>598</v>
      </c>
      <c r="K257">
        <v>598</v>
      </c>
      <c r="L257">
        <v>132</v>
      </c>
    </row>
    <row r="258" spans="1:12" x14ac:dyDescent="0.25">
      <c r="A258" t="s">
        <v>871</v>
      </c>
      <c r="B258" t="s">
        <v>13</v>
      </c>
      <c r="C258" t="s">
        <v>47</v>
      </c>
      <c r="D258" t="s">
        <v>47</v>
      </c>
      <c r="E258" t="s">
        <v>20</v>
      </c>
      <c r="F258" t="s">
        <v>20</v>
      </c>
      <c r="G258">
        <v>22</v>
      </c>
      <c r="H258">
        <v>20</v>
      </c>
      <c r="I258">
        <f>=MAX(30,ROUND(($F258*$G258+$H258)/5,0)*5)</f>
        <v>30</v>
      </c>
    </row>
    <row r="259" spans="1:12" x14ac:dyDescent="0.25">
      <c r="A259" t="s">
        <v>872</v>
      </c>
      <c r="B259" t="s">
        <v>13</v>
      </c>
      <c r="C259" t="s">
        <v>93</v>
      </c>
      <c r="D259" t="s">
        <v>20</v>
      </c>
      <c r="E259" t="s">
        <v>20</v>
      </c>
      <c r="F259">
        <v>7</v>
      </c>
      <c r="G259">
        <v>22</v>
      </c>
      <c r="H259">
        <v>20</v>
      </c>
      <c r="I259">
        <f>=MAX(30,ROUND(($F259*$G259+$H259)/5,0)*5)</f>
        <v>175</v>
      </c>
      <c r="J259">
        <v>499</v>
      </c>
      <c r="K259">
        <v>499</v>
      </c>
      <c r="L259">
        <v>110</v>
      </c>
    </row>
    <row r="260" spans="1:12" x14ac:dyDescent="0.25">
      <c r="A260" t="s">
        <v>873</v>
      </c>
      <c r="B260" t="s">
        <v>13</v>
      </c>
      <c r="C260" t="s">
        <v>93</v>
      </c>
      <c r="D260" t="s">
        <v>20</v>
      </c>
      <c r="E260" t="s">
        <v>20</v>
      </c>
      <c r="F260" t="s">
        <v>20</v>
      </c>
      <c r="G260">
        <v>22</v>
      </c>
      <c r="H260">
        <v>20</v>
      </c>
      <c r="I260">
        <f>=MAX(30,ROUND(($F260*$G260+$H260)/5,0)*5)</f>
        <v>30</v>
      </c>
    </row>
    <row r="261" spans="1:12" x14ac:dyDescent="0.25">
      <c r="A261" t="s">
        <v>874</v>
      </c>
      <c r="B261" t="s">
        <v>13</v>
      </c>
      <c r="C261" t="s">
        <v>93</v>
      </c>
      <c r="D261" t="s">
        <v>20</v>
      </c>
      <c r="E261" t="s">
        <v>20</v>
      </c>
      <c r="F261" t="s">
        <v>20</v>
      </c>
      <c r="G261">
        <v>22</v>
      </c>
      <c r="H261">
        <v>20</v>
      </c>
      <c r="I261">
        <f>=MAX(30,ROUND(($F261*$G261+$H261)/5,0)*5)</f>
        <v>30</v>
      </c>
    </row>
    <row r="263" spans="1:1" x14ac:dyDescent="0.25">
      <c r="A263" t="s">
        <v>875</v>
      </c>
    </row>
    <row r="264" spans="1:3" x14ac:dyDescent="0.25">
      <c r="A264" t="s">
        <v>13</v>
      </c>
      <c r="B264">
        <v>20</v>
      </c>
      <c r="C264" t="s">
        <v>876</v>
      </c>
    </row>
    <row r="265" spans="1:3" x14ac:dyDescent="0.25">
      <c r="A265" t="s">
        <v>105</v>
      </c>
      <c r="B265">
        <v>18</v>
      </c>
      <c r="C265" t="s">
        <v>877</v>
      </c>
    </row>
    <row r="266" spans="1:3" x14ac:dyDescent="0.25">
      <c r="A266" t="s">
        <v>35</v>
      </c>
      <c r="B266">
        <v>150</v>
      </c>
      <c r="C266" t="s">
        <v>878</v>
      </c>
    </row>
    <row r="267" spans="1:3" x14ac:dyDescent="0.25">
      <c r="A267" t="s">
        <v>55</v>
      </c>
      <c r="B267">
        <v>260</v>
      </c>
      <c r="C267" t="s">
        <v>878</v>
      </c>
    </row>
    <row r="268" spans="1:3" x14ac:dyDescent="0.25">
      <c r="A268" t="s">
        <v>405</v>
      </c>
      <c r="B268">
        <v>230</v>
      </c>
      <c r="C268" t="s">
        <v>878</v>
      </c>
    </row>
    <row r="269" spans="1:3" x14ac:dyDescent="0.25">
      <c r="A269" t="s">
        <v>836</v>
      </c>
      <c r="B269">
        <v>150</v>
      </c>
      <c r="C269" t="s">
        <v>878</v>
      </c>
    </row>
    <row r="270" spans="1:3" x14ac:dyDescent="0.25">
      <c r="A270" t="s">
        <v>26</v>
      </c>
      <c r="B270">
        <v>200</v>
      </c>
      <c r="C270" t="s">
        <v>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90" customWidth="1"/>
  </cols>
  <sheetData>
    <row r="1" spans="1:2" s="1" customFormat="1" x14ac:dyDescent="0.25">
      <c r="A1" s="1" t="s">
        <v>879</v>
      </c>
      <c r="B1" s="1" t="s">
        <v>880</v>
      </c>
    </row>
    <row r="2" spans="1:2" x14ac:dyDescent="0.25">
      <c r="A2" t="s">
        <v>881</v>
      </c>
      <c r="B2" t="s">
        <v>882</v>
      </c>
    </row>
    <row r="3" spans="1:2" x14ac:dyDescent="0.25">
      <c r="A3" t="s">
        <v>883</v>
      </c>
      <c r="B3" t="s">
        <v>884</v>
      </c>
    </row>
    <row r="4" spans="1:2" x14ac:dyDescent="0.25">
      <c r="A4" t="s">
        <v>885</v>
      </c>
      <c r="B4" t="s">
        <v>886</v>
      </c>
    </row>
    <row r="5" spans="1:2" x14ac:dyDescent="0.25">
      <c r="A5" t="s">
        <v>887</v>
      </c>
      <c r="B5" t="s">
        <v>888</v>
      </c>
    </row>
    <row r="6" spans="1:2" x14ac:dyDescent="0.25">
      <c r="A6" t="s">
        <v>889</v>
      </c>
      <c r="B6" t="s">
        <v>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商品重量表</vt:lpstr>
      <vt:lpstr>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jp-mask-daigou</dc:creator>
  <dc:title/>
  <dc:subject/>
  <dc:description/>
  <cp:keywords/>
  <cp:category/>
  <cp:lastModifiedBy>Unknown</cp:lastModifiedBy>
  <dcterms:created xsi:type="dcterms:W3CDTF">2026-09-30T17:14:11Z</dcterms:created>
  <dcterms:modified xsi:type="dcterms:W3CDTF">2026-09-30T17:14:11Z</dcterms:modified>
</cp:coreProperties>
</file>